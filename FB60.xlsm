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auyt\Desktop\Automatizacao SAP\prototipo\"/>
    </mc:Choice>
  </mc:AlternateContent>
  <xr:revisionPtr revIDLastSave="0" documentId="13_ncr:1_{8E770BD4-F6DF-46A6-9A13-F3C6BC2F0B65}" xr6:coauthVersionLast="46" xr6:coauthVersionMax="46" xr10:uidLastSave="{00000000-0000-0000-0000-000000000000}"/>
  <bookViews>
    <workbookView xWindow="-120" yWindow="-120" windowWidth="20730" windowHeight="11310" xr2:uid="{00000000-000D-0000-FFFF-FFFF00000000}"/>
  </bookViews>
  <sheets>
    <sheet name="SAP" sheetId="1" r:id="rId1"/>
    <sheet name="classificacao" sheetId="3" state="hidden" r:id="rId2"/>
    <sheet name="cod_sap" sheetId="2" state="hidden" r:id="rId3"/>
  </sheets>
  <functionGroups builtInGroupCount="19"/>
  <definedNames>
    <definedName name="_xlnm._FilterDatabase" localSheetId="2" hidden="1">cod_sap!$A$1:$C$1395</definedName>
    <definedName name="CNPJ">cod_sap!$A$1:$C$72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4" i="1" l="1"/>
  <c r="H1" i="1"/>
  <c r="E4" i="1"/>
  <c r="I1" i="1" s="1"/>
  <c r="A4" i="1"/>
  <c r="M1" i="1"/>
  <c r="S1" i="1"/>
  <c r="J1" i="1" l="1"/>
  <c r="N4" i="1"/>
  <c r="AG4" i="1" l="1"/>
  <c r="P4" i="1"/>
  <c r="H4" i="1"/>
  <c r="F4" i="1" l="1"/>
  <c r="AF4" i="1" l="1"/>
  <c r="AD4" i="1"/>
  <c r="AC4" i="1"/>
  <c r="AB4" i="1"/>
  <c r="AH4" i="1" l="1"/>
  <c r="AE4" i="1"/>
  <c r="G4" i="1" s="1"/>
  <c r="AI4" i="1" l="1"/>
  <c r="L4" i="1"/>
  <c r="J4" i="1"/>
  <c r="K4" i="1"/>
</calcChain>
</file>

<file path=xl/sharedStrings.xml><?xml version="1.0" encoding="utf-8"?>
<sst xmlns="http://schemas.openxmlformats.org/spreadsheetml/2006/main" count="2996" uniqueCount="2439">
  <si>
    <t>Favorecido (CPF/CNPJ)</t>
  </si>
  <si>
    <t>Área do Direito</t>
  </si>
  <si>
    <t>Sub Tipo</t>
  </si>
  <si>
    <t>Descrição</t>
  </si>
  <si>
    <t>Categoria_Contabil</t>
  </si>
  <si>
    <t>Valores - Código de Barras</t>
  </si>
  <si>
    <t>51.174.001/0001-93</t>
  </si>
  <si>
    <t>15.303.222/0001-50</t>
  </si>
  <si>
    <t>03.141.166/0001-16</t>
  </si>
  <si>
    <t>04.567.897/0001-90</t>
  </si>
  <si>
    <t>02.578.421/0001-20</t>
  </si>
  <si>
    <t>Condenação</t>
  </si>
  <si>
    <t>09.280.442/0001-03</t>
  </si>
  <si>
    <t>28.538.734/0001-48</t>
  </si>
  <si>
    <t>33.632.985/0001-27</t>
  </si>
  <si>
    <t>CONTRIBUIÇÃO</t>
  </si>
  <si>
    <t>13.166.970/0001-03</t>
  </si>
  <si>
    <t>FUNDO ESPECIAL DE DESPESA DO TRIBUNAL DE JUSTICA DO ESTADO DE SAO PAULO</t>
  </si>
  <si>
    <t>13.847.549/0001-68</t>
  </si>
  <si>
    <t>21.154.554/0001-13</t>
  </si>
  <si>
    <t>Honorários de Sucumbência</t>
  </si>
  <si>
    <t>69.287.639/0001-04</t>
  </si>
  <si>
    <t>CNPJ</t>
  </si>
  <si>
    <t>Favorecido</t>
  </si>
  <si>
    <t>Codigo</t>
  </si>
  <si>
    <t>00.414.607/0001-18</t>
  </si>
  <si>
    <t>TRIBUNAL DE CONTAS DA UNIAO TCU</t>
  </si>
  <si>
    <t>00.488.478/0001-02</t>
  </si>
  <si>
    <t>SUPERIOR TRIBUNAL DE JUSTICA</t>
  </si>
  <si>
    <t>00.509.968/0001-48</t>
  </si>
  <si>
    <t>TRIBUNAL SUPERIOR DO TRABALHO</t>
  </si>
  <si>
    <t>00.509.968/0007-33</t>
  </si>
  <si>
    <t>00.531.640/0001-28</t>
  </si>
  <si>
    <t>SUPREMO TRIBUNAL FEDERAL</t>
  </si>
  <si>
    <t>00.531.954/0001-20</t>
  </si>
  <si>
    <t>TRIBUNAL DE JUSTICA DO DISTRITO FED</t>
  </si>
  <si>
    <t>00.531.954/0031-46</t>
  </si>
  <si>
    <t>01.298.583/0001-41</t>
  </si>
  <si>
    <t>01.445.033/0001-08</t>
  </si>
  <si>
    <t>01.547.343/0001-33</t>
  </si>
  <si>
    <t>01.671.187/0001-18</t>
  </si>
  <si>
    <t>01.700.776/0001-87</t>
  </si>
  <si>
    <t>TRIBUNAL DE JUSTICA DO ESTADO DE AL</t>
  </si>
  <si>
    <t>02.011.574/0001-90</t>
  </si>
  <si>
    <t>02.292.266/0001-80</t>
  </si>
  <si>
    <t>02.395.868/0001-63</t>
  </si>
  <si>
    <t>02.482.005/0001-23</t>
  </si>
  <si>
    <t>02.488.507/0001-61</t>
  </si>
  <si>
    <t>02.520.619/0001-52</t>
  </si>
  <si>
    <t>TRIBUNAL REGIONAL DO TRABALHO DA 4</t>
  </si>
  <si>
    <t>02.544.593/0001-82</t>
  </si>
  <si>
    <t>02.566.224/0001-90</t>
  </si>
  <si>
    <t>02.839.639/0001-90</t>
  </si>
  <si>
    <t>03.235.270/0001-70</t>
  </si>
  <si>
    <t>03.241.738/0001-39</t>
  </si>
  <si>
    <t>TRIBUNAL REGIONAL DO TRABALHO DA 2</t>
  </si>
  <si>
    <t>03.458.141/0001-40</t>
  </si>
  <si>
    <t>03.535.606/0001-10</t>
  </si>
  <si>
    <t>TRIBUNAL DE JUSTICA DO ESTADO DE MA</t>
  </si>
  <si>
    <t>03.658.507/0001-25</t>
  </si>
  <si>
    <t>TRIBUNAL REGIONAL FEDERAL DA PRIMEI</t>
  </si>
  <si>
    <t>03.979.663/0001-98</t>
  </si>
  <si>
    <t>TRIBUNAL DE JUSTICA DE MATO GROSSO</t>
  </si>
  <si>
    <t>03.979.663/0002-79</t>
  </si>
  <si>
    <t>TRIBUNAL DE JUSTICA DO ESTADO MATO</t>
  </si>
  <si>
    <t>03.979.663/0010-89</t>
  </si>
  <si>
    <t>TRIBUNAL DE JUSTICA DO ESTADO DO MA</t>
  </si>
  <si>
    <t>03.979.663/0014-02</t>
  </si>
  <si>
    <t>03.979.663/0039-60</t>
  </si>
  <si>
    <t>04.034.872/0001-21</t>
  </si>
  <si>
    <t>TRIBUNAL DE JUSTICA DO ESTADO DO AC</t>
  </si>
  <si>
    <t>04.293.700/0001-72</t>
  </si>
  <si>
    <t>TRIBUNAL DE JUSTICA DO ESTADO DE</t>
  </si>
  <si>
    <t>04.812.509/0001-90</t>
  </si>
  <si>
    <t>TRIBUNAL JUSTICA DO ESTADO DO</t>
  </si>
  <si>
    <t>05.288.790/0001-76</t>
  </si>
  <si>
    <t>TRIBUNAL DE JUSTICA DO MARANHAO</t>
  </si>
  <si>
    <t>06.981.344/0001-05</t>
  </si>
  <si>
    <t>TRIBUNAL DE JUSTICA DO PIAUI</t>
  </si>
  <si>
    <t>08.546.459/0001-05</t>
  </si>
  <si>
    <t>RIO GRANDE DO NORTE TRIBUNAL DE</t>
  </si>
  <si>
    <t>09.205.193/0001-91</t>
  </si>
  <si>
    <t>POSTO TRIBUNAL LTDA</t>
  </si>
  <si>
    <t>09.283.185/0001-63</t>
  </si>
  <si>
    <t>JOAO PESSOA TRIBUNAL DE JUSTICA DO</t>
  </si>
  <si>
    <t>09.444.530/0001-01</t>
  </si>
  <si>
    <t>TRIBUNAL DE JUSTICA DO EST DO CEARA</t>
  </si>
  <si>
    <t>12.473.062/0001-08</t>
  </si>
  <si>
    <t>13.100.722/0001-60</t>
  </si>
  <si>
    <t>21.154.877/0001-07</t>
  </si>
  <si>
    <t>TRIBUNAL DE CONTAS EST.DE MINAS GER</t>
  </si>
  <si>
    <t>23.608.631/0001-93</t>
  </si>
  <si>
    <t>25.053.190/0001-36</t>
  </si>
  <si>
    <t>TRIBUNAL DE JUSTICA DO ESTADO DO</t>
  </si>
  <si>
    <t>27.476.100/0001-45</t>
  </si>
  <si>
    <t>TRIBUNAL DE JUSTICA DO ESTADO DO ES</t>
  </si>
  <si>
    <t>34.870.576/0001-21</t>
  </si>
  <si>
    <t>TRIBUNAL DE JUSTICA DO ESTADO DO AM</t>
  </si>
  <si>
    <t>35.734.318/0001-80</t>
  </si>
  <si>
    <t>37.115.409/0001-63</t>
  </si>
  <si>
    <t>37.115.425/0001-56</t>
  </si>
  <si>
    <t>50.290.931/0001-40</t>
  </si>
  <si>
    <t>SAO PAULO TRIBUNAL DE CONTAS DO EST</t>
  </si>
  <si>
    <t>TRIBUNAL DE JUSTICA DE SAO PAULO</t>
  </si>
  <si>
    <t>77.821.841/0001-94</t>
  </si>
  <si>
    <t>TRIBUNAL DE JUSTICA DO PARANA</t>
  </si>
  <si>
    <t>77.967.768/0001-63</t>
  </si>
  <si>
    <t>TRIBUNAL DE ALCADA-TA</t>
  </si>
  <si>
    <t>77.996.312/0001-21</t>
  </si>
  <si>
    <t>TRIBUNAL DE CONTAS-TC</t>
  </si>
  <si>
    <t>83.845.701/0001-59</t>
  </si>
  <si>
    <t>TRIBUNAL DE JUSTICA DE SANTA</t>
  </si>
  <si>
    <t>92.518.737/0001-19</t>
  </si>
  <si>
    <t>TRIBUNAL REGIONAL FEDERAL</t>
  </si>
  <si>
    <t>00.188.617/0001-82</t>
  </si>
  <si>
    <t>FUNDO DE MODERNIZAÇAO DA PM</t>
  </si>
  <si>
    <t>00.334.094/0001-35</t>
  </si>
  <si>
    <t>FUNDO DE APERFEICOAMENTO DOS SERVIC</t>
  </si>
  <si>
    <t>00.358.131/0001-45</t>
  </si>
  <si>
    <t>RANCHO FUNDO COMIDA MINEIRA LTDA</t>
  </si>
  <si>
    <t>00.378.257/0001-81</t>
  </si>
  <si>
    <t>MC-FUNDO NAC.DESENV.EDUCACAO</t>
  </si>
  <si>
    <t>00.394.445/0001-01</t>
  </si>
  <si>
    <t>FUNDO NACIONAL DE DESENV DA</t>
  </si>
  <si>
    <t>00.394.445/0012-56</t>
  </si>
  <si>
    <t>FUNDO NAC DE DESENV DA EDUCACAO -</t>
  </si>
  <si>
    <t>00.394.445/0017-60</t>
  </si>
  <si>
    <t>00.394.452/0547-00</t>
  </si>
  <si>
    <t>COMANDO DO EXERCITO - FUNDO DO EXER</t>
  </si>
  <si>
    <t>00.396.895/0066-70</t>
  </si>
  <si>
    <t>FUNDO FEDERAL AGROPECUARIO FFAP</t>
  </si>
  <si>
    <t>00.456.832/0001-17</t>
  </si>
  <si>
    <t>FUNDO MUNIC.DE SAUDE NOVA SERRANA</t>
  </si>
  <si>
    <t>00.544.963/0001-56</t>
  </si>
  <si>
    <t>FUNDO ESPECIAL DE SAUDE</t>
  </si>
  <si>
    <t>00.623.730/0001-49</t>
  </si>
  <si>
    <t>FUNDO MUNICIPAL DOS DIREITOS DA CRI</t>
  </si>
  <si>
    <t>00.726.078/0001-98</t>
  </si>
  <si>
    <t>FUNDO NACIONAL DO MEIO AMBIENTE</t>
  </si>
  <si>
    <t>00.727.403/0001-37</t>
  </si>
  <si>
    <t>FUNDO ESP.DO CORPO DE BOMBEIROS DO</t>
  </si>
  <si>
    <t>00.733.062/0001-02</t>
  </si>
  <si>
    <t>FUNDO ESTADUAL DE SAUDE</t>
  </si>
  <si>
    <t>00.810.974/0001-30</t>
  </si>
  <si>
    <t>CAFUNDO PLACAS LTDA</t>
  </si>
  <si>
    <t>01.002.940/0001-82</t>
  </si>
  <si>
    <t>FUNDO NACIONAL DE</t>
  </si>
  <si>
    <t>01.037.124/0001-04</t>
  </si>
  <si>
    <t>FEMA-FUNDO ESTADUAL DO MEIO</t>
  </si>
  <si>
    <t>01.386.943/0001-67</t>
  </si>
  <si>
    <t>FUNDO ORCAMENTARIO ESPECIAL DA PGMR</t>
  </si>
  <si>
    <t>01.606.604/0001-49</t>
  </si>
  <si>
    <t>FUNDO MUNIC.DE SAUDE DE BARRA DO PI</t>
  </si>
  <si>
    <t>01.872.837/0001-93</t>
  </si>
  <si>
    <t>CUIABA FUNDO DE APOIO AO JUDICIARIO</t>
  </si>
  <si>
    <t>02.489.503/0001-06</t>
  </si>
  <si>
    <t>FUNDO ESPECIAL DE REEQUIPAMENTO COR</t>
  </si>
  <si>
    <t>02.653.273/0001-60</t>
  </si>
  <si>
    <t>FUNDO MUNICIPAL DE TRANSPORTES</t>
  </si>
  <si>
    <t>02.658.753/0001-14</t>
  </si>
  <si>
    <t>FUNESP-FUNDO ESTDL.DA SEGURANCA</t>
  </si>
  <si>
    <t>02.824.102/0001-57</t>
  </si>
  <si>
    <t>MECANICA PASSO FUNDO LTDA</t>
  </si>
  <si>
    <t>03.043.457/0001-71</t>
  </si>
  <si>
    <t>AUTO POSTO BR PASSO FUNDO LTDA</t>
  </si>
  <si>
    <t>03.066.219/0001-81</t>
  </si>
  <si>
    <t>FUNDO UNICO DE PREV.SOCIAL DO EST.R</t>
  </si>
  <si>
    <t>03.173.154/0001-73</t>
  </si>
  <si>
    <t>FUNDO ESPECIAL DE MODERNIZACAO</t>
  </si>
  <si>
    <t>03.537.443/0001-04</t>
  </si>
  <si>
    <t>FUNDO BRASILEIRO PARA A BIODIVERSID</t>
  </si>
  <si>
    <t>03.540.647/0001-02</t>
  </si>
  <si>
    <t>FUNDO ESP.DE REEQUIPAMENTO DA SEJUS</t>
  </si>
  <si>
    <t>03.744.126/0001-69</t>
  </si>
  <si>
    <t>UNICEF FUNDO DAS NAÇOES UNIDAS PARA</t>
  </si>
  <si>
    <t>04.198.514/0057-09</t>
  </si>
  <si>
    <t>FUNDO ESPECIAL DA POLICIA MILITAR</t>
  </si>
  <si>
    <t>04.249.011/0001-60</t>
  </si>
  <si>
    <t>FUNDO MUNICIPAL DE SAUDE</t>
  </si>
  <si>
    <t>04.261.451/0001-33</t>
  </si>
  <si>
    <t>FUNDO MUNICIPAL DE ASSISTENCIA SOCI</t>
  </si>
  <si>
    <t>04.261.456/0001-66</t>
  </si>
  <si>
    <t>FUNDO MUN DA CRIANCA E DO ADOLESCEN</t>
  </si>
  <si>
    <t>04.321.321/0001-49</t>
  </si>
  <si>
    <t>FUNDO ESTADUAL DO MEIO AMBIENTE</t>
  </si>
  <si>
    <t>04.384.829/0001-96</t>
  </si>
  <si>
    <t>04.408.070/0001-34</t>
  </si>
  <si>
    <t>FUNDO ESPECIAL DE MODERNIZACAO E</t>
  </si>
  <si>
    <t>04.556.274/0001-12</t>
  </si>
  <si>
    <t>FUNDO ESTADUAL DE RECURSOS HIDRICOS</t>
  </si>
  <si>
    <t>05.148.967/0001-39</t>
  </si>
  <si>
    <t>FUNDO MUNICIPAL DE APOIO A CRIANCA</t>
  </si>
  <si>
    <t>05.532.085/0001-72</t>
  </si>
  <si>
    <t>FUNJECC FUNDO ESPEC P INST DESENVOL</t>
  </si>
  <si>
    <t>05.593.119/0001-39</t>
  </si>
  <si>
    <t>05.741.060/0001-89</t>
  </si>
  <si>
    <t>FUNDO ESPECIAL DO PODER JUDICIARIO</t>
  </si>
  <si>
    <t>05.937.301/0001-60</t>
  </si>
  <si>
    <t>FUNDO ESPECIAL MUNICIPAL DO CORPO D</t>
  </si>
  <si>
    <t>07.188.579/0001-07</t>
  </si>
  <si>
    <t>FUNDO DE MELHORIA DA POLICIA CIVIL</t>
  </si>
  <si>
    <t>07.472.738/0001-09</t>
  </si>
  <si>
    <t>FUNDO ESTADUAL DE MEIO AMBIENTE</t>
  </si>
  <si>
    <t>07.687.045/0001-25</t>
  </si>
  <si>
    <t>08.013.371/0001-10</t>
  </si>
  <si>
    <t>08.311.485/0001-46</t>
  </si>
  <si>
    <t>FUNDO MUNICIPAL DO MEIO AMBIENTE</t>
  </si>
  <si>
    <t>08.417.532/0001-30</t>
  </si>
  <si>
    <t>FUNDO DE INVESTIMENTO IMOBILIARIO F</t>
  </si>
  <si>
    <t>08.957.302/0001-64</t>
  </si>
  <si>
    <t>09.263.012/0001-83</t>
  </si>
  <si>
    <t>FUNDO DE INVESTIMENTO EM DIREITOS</t>
  </si>
  <si>
    <t>09.426.565/0001-00</t>
  </si>
  <si>
    <t>FUNDO MUNICIPAL DE SAUDE DE</t>
  </si>
  <si>
    <t>10.353.366/0001-06</t>
  </si>
  <si>
    <t>REGISTRO DE IMOVEIS DE PASSO FUNDO</t>
  </si>
  <si>
    <t>10.456.799/0001-89</t>
  </si>
  <si>
    <t>FUNDO DE INVESTIMENTO IMOBILIARIO</t>
  </si>
  <si>
    <t>10.466.386/0001-85</t>
  </si>
  <si>
    <t>FUNDO DE INFORMATIZACAO EDIFICACAO</t>
  </si>
  <si>
    <t>11.190.812/0001-63</t>
  </si>
  <si>
    <t>FUNDO MUN DE SAUDE DE VITORIA DO XI</t>
  </si>
  <si>
    <t>11.206.085/0001-85</t>
  </si>
  <si>
    <t>FUNDIF FUNDO ESTADUAL DE DEFESA</t>
  </si>
  <si>
    <t>11.260.173/0001-65</t>
  </si>
  <si>
    <t>FCM FUNDO DE INVESTIMENTO EM DIREIT</t>
  </si>
  <si>
    <t>12.148.948/0001-78</t>
  </si>
  <si>
    <t>FUNDO MUL DE S DO M DE PENALVA</t>
  </si>
  <si>
    <t>12.358.325/0001-20</t>
  </si>
  <si>
    <t>13.323.274/0007-59</t>
  </si>
  <si>
    <t>FUNDO ROTATIVO DO MATL.-SAEB</t>
  </si>
  <si>
    <t>13.847.786/0001-29</t>
  </si>
  <si>
    <t>FUNDO ESPECIAL DE DESP PARA PRESERV</t>
  </si>
  <si>
    <t>13.873.675/0001-97</t>
  </si>
  <si>
    <t>FUNDO ESPECIAL DE DESPESA DA POLICI</t>
  </si>
  <si>
    <t>13.925.994/0001-07</t>
  </si>
  <si>
    <t>FUNDO DE MELHORIA DA POLICIA MILITA</t>
  </si>
  <si>
    <t>14.869.229/0001-71</t>
  </si>
  <si>
    <t>FUNDO ESPECIAL DE SEGURANCA</t>
  </si>
  <si>
    <t>15.246.281/0001-34</t>
  </si>
  <si>
    <t>15.303.302/0001-06</t>
  </si>
  <si>
    <t>FUNDO DE REEQUIPAMENTO DO PODER</t>
  </si>
  <si>
    <t>15.696.021/0001-60</t>
  </si>
  <si>
    <t>FUNDO DA PROCURADORIA GERAL DO</t>
  </si>
  <si>
    <t>16.727.230/0001-97</t>
  </si>
  <si>
    <t>FUNDO DO REGIME GERAL DA PREVIDENCI</t>
  </si>
  <si>
    <t>18.874.954/0001-99</t>
  </si>
  <si>
    <t>TARANTO FUNDO DE INVESTIMENTO</t>
  </si>
  <si>
    <t>19.091.798/0001-52</t>
  </si>
  <si>
    <t>FUNDO NACIONAL PARA A CRIANCA</t>
  </si>
  <si>
    <t>20.868.995/0001-14</t>
  </si>
  <si>
    <t>23.924.713/0001-47</t>
  </si>
  <si>
    <t>FUNDO ESPECIAL DO CORPO DE BOMBEIRO</t>
  </si>
  <si>
    <t>25.317.772/0001-82</t>
  </si>
  <si>
    <t>FUNDO MUNICIPAL DE EDUCAÇÃO</t>
  </si>
  <si>
    <t>25.404.730/0001-89</t>
  </si>
  <si>
    <t>FUNDO PARA RECONSTITUICAO DE BENS</t>
  </si>
  <si>
    <t>30.846.692/0001-54</t>
  </si>
  <si>
    <t>METROPOLITANO FUNDO DE INVESTIMENTO</t>
  </si>
  <si>
    <t>34.812.669/0001-08</t>
  </si>
  <si>
    <t>41.655.846/0001-47</t>
  </si>
  <si>
    <t>FUNDO ESPECIAL DE REAPAREL E MODERN</t>
  </si>
  <si>
    <t>47.673.793/0001-73</t>
  </si>
  <si>
    <t>ASSOCIACAO FUNDO DE INCENTIVO A</t>
  </si>
  <si>
    <t>87.612.537/0001-90</t>
  </si>
  <si>
    <t>PREFEITURA MUNICIPAL DE PASSO FUNDO</t>
  </si>
  <si>
    <t>87.958.583/0098-79</t>
  </si>
  <si>
    <t>FUNDO ESPECIAL DA SEG.PUBLICA</t>
  </si>
  <si>
    <t>90.149.055/0001-50</t>
  </si>
  <si>
    <t>CIA.DESENVOLVIMENTO PASSO FUNDO-CAD</t>
  </si>
  <si>
    <t>00.000.604/0001-38</t>
  </si>
  <si>
    <t>PIRACANJUBA CARTORIO PRIMEIRO OF NO</t>
  </si>
  <si>
    <t>00.002.030/0001-37</t>
  </si>
  <si>
    <t>00.015.768/0001-39</t>
  </si>
  <si>
    <t>GOIANIA CARTORIO DE REGISTRO DE IMO</t>
  </si>
  <si>
    <t>00.098.210/0001-64</t>
  </si>
  <si>
    <t>CRIXAS CARTORIO 1 OFICIO DE NOTAS</t>
  </si>
  <si>
    <t>00.176.051/0001-79</t>
  </si>
  <si>
    <t>CARTORIO DANTAS DE OLIVEIRA TABELIO</t>
  </si>
  <si>
    <t>00.179.028/0001-38</t>
  </si>
  <si>
    <t>SINOP CARTORIO DE REGISTRO DE IMOVE</t>
  </si>
  <si>
    <t>00.321.534/0001-10</t>
  </si>
  <si>
    <t>SANTO ANTONIO DO SUDOESTE CARTORIO</t>
  </si>
  <si>
    <t>00.322.048/0001-16</t>
  </si>
  <si>
    <t>CASCAVEL CARTORIO CONT PART DISTRIB</t>
  </si>
  <si>
    <t>00.618.421/0001-80</t>
  </si>
  <si>
    <t>CARTORIO 2 OFICIO DE NOTAS E PROTES</t>
  </si>
  <si>
    <t>00.618.611/0001-06</t>
  </si>
  <si>
    <t>CARTORIO 2 OF REG CIVIL CAS TIT</t>
  </si>
  <si>
    <t>00.678.796/0001-36</t>
  </si>
  <si>
    <t>CARTORIO OFICIO UNICO EXTRA JUDICIA</t>
  </si>
  <si>
    <t>00.717.121/0001-59</t>
  </si>
  <si>
    <t>CARTORIO 1º OFICIO DE REGISTRO DA</t>
  </si>
  <si>
    <t>00.748.857/0001-94</t>
  </si>
  <si>
    <t>CARTORIO CIVEL DE CAMPINA GRANDE DO</t>
  </si>
  <si>
    <t>00.748.858/0001-39</t>
  </si>
  <si>
    <t>CARTORIO DISTRIBUIDOR E ANEXOS DE</t>
  </si>
  <si>
    <t>00.753.466/0001-68</t>
  </si>
  <si>
    <t>CARTORIO DE IMOVEIS SAO JOSE DA COR</t>
  </si>
  <si>
    <t>00.813.600/0001-79</t>
  </si>
  <si>
    <t>ACREUNA CARTORIO DE REGISTRO GERAL</t>
  </si>
  <si>
    <t>00.839.378/0001-83</t>
  </si>
  <si>
    <t>PARANAVAI CARTORIO DISTRIBUIDOR E A</t>
  </si>
  <si>
    <t>00.914.988/0001-02</t>
  </si>
  <si>
    <t>CARTORIO DO 1 OFICIO DA COMARCA DE</t>
  </si>
  <si>
    <t>01.005.538/0001-51</t>
  </si>
  <si>
    <t>CARTORIO DO PRIMEIRO OFICIO DE</t>
  </si>
  <si>
    <t>01.095.945/0001-05</t>
  </si>
  <si>
    <t>CARTORIO DE REG CIVIL DE TITULOS E</t>
  </si>
  <si>
    <t>01.204.959/0001-01</t>
  </si>
  <si>
    <t>2 CARTORIO DAYSI KEIBER</t>
  </si>
  <si>
    <t>01.720.317/0001-65</t>
  </si>
  <si>
    <t>CARTORIO DO QUINTO OFICIO DE NOTAS</t>
  </si>
  <si>
    <t>01.873.108/0001-51</t>
  </si>
  <si>
    <t>COLIDER CARTORIO DO 1 OFICIO</t>
  </si>
  <si>
    <t>01.974.435/0001-08</t>
  </si>
  <si>
    <t>EDILMA BRAGA CARTORIO DO DISTRIBUID</t>
  </si>
  <si>
    <t>02.125.927/0001-83</t>
  </si>
  <si>
    <t>CARTORIO 4 OFICIO DE NOTAS E REGIST</t>
  </si>
  <si>
    <t>02.565.322/0001-03</t>
  </si>
  <si>
    <t>TOLEDO CARTORIO DISTRIBUIDOR PUBLIC</t>
  </si>
  <si>
    <t>02.594.560/0001-47</t>
  </si>
  <si>
    <t>CARTORIO DA SEGUNDA VARA CIVEL COMA</t>
  </si>
  <si>
    <t>02.626.080/0001-10</t>
  </si>
  <si>
    <t>CARTORIO CIVEL E ANEXOS DA COMARCA</t>
  </si>
  <si>
    <t>02.668.382/0001-51</t>
  </si>
  <si>
    <t>ITUMBIARA CARTORIO DO 1º OFICIO DE</t>
  </si>
  <si>
    <t>02.668.416/0001-08</t>
  </si>
  <si>
    <t>ITUMBIARA CARTORIO DE REGISTRO DE</t>
  </si>
  <si>
    <t>02.713.647/0001-96</t>
  </si>
  <si>
    <t>CARTORIO CIVEL E COMERCIO</t>
  </si>
  <si>
    <t>02.726.262/0001-63</t>
  </si>
  <si>
    <t>CARTORIO DE OFICIO UNICO DO</t>
  </si>
  <si>
    <t>02.741.833/0001-39</t>
  </si>
  <si>
    <t>ITAPURANGA CARTORIO 2º OFICIO E NOT</t>
  </si>
  <si>
    <t>02.741.841/0001-85</t>
  </si>
  <si>
    <t>CIBELE CARTORIO DO REGISTRO CIVIL E</t>
  </si>
  <si>
    <t>02.751.410/0001-08</t>
  </si>
  <si>
    <t>ITARUMA CARTORIO DO 1 OFICIO REG GE</t>
  </si>
  <si>
    <t>02.751.451/0001-96</t>
  </si>
  <si>
    <t>S R DO ARAGUAIA CARTORIO DO PRIMEIR</t>
  </si>
  <si>
    <t>02.758.373/0001-51</t>
  </si>
  <si>
    <t>CARTORIO DO 1 OFICIO E REGISTRO DE</t>
  </si>
  <si>
    <t>02.773.141/0001-72</t>
  </si>
  <si>
    <t>ARAGUAINA CARTORIO DO REGISTRO DE</t>
  </si>
  <si>
    <t>02.773.158/0001-20</t>
  </si>
  <si>
    <t>CARTORIO DO REG DE PESSOAS JUR TIT</t>
  </si>
  <si>
    <t>02.790.491/0001-47</t>
  </si>
  <si>
    <t>ANAPOLIS CARTORIO DE REG DE IMOVEIS</t>
  </si>
  <si>
    <t>02.790.566/0001-90</t>
  </si>
  <si>
    <t>ANAPOLIS CARTORIO REGISTRO DE IMOVE</t>
  </si>
  <si>
    <t>02.790.608/0001-92</t>
  </si>
  <si>
    <t>VIANOPOLIS CARTORIO PRIMEIRO OFICIO</t>
  </si>
  <si>
    <t>02.847.077/0001-27</t>
  </si>
  <si>
    <t>RIO VERDE CARTORIO DO REGISTRO DE I</t>
  </si>
  <si>
    <t>02.867.718/0001-05</t>
  </si>
  <si>
    <t>CARTORIO 2 CIRCUNSCRICAO DO RCPN</t>
  </si>
  <si>
    <t>02.884.039/0001-44</t>
  </si>
  <si>
    <t>CARTORIO DO REG DE PES JUR T DOC E</t>
  </si>
  <si>
    <t>02.884.047/0001-90</t>
  </si>
  <si>
    <t>ALIANCA DO NORTE CARTORIO REGISTRO</t>
  </si>
  <si>
    <t>02.884.369/0001-30</t>
  </si>
  <si>
    <t>CARTORIO DO SEXTO OFICIO DE NOTAS</t>
  </si>
  <si>
    <t>02.884.393/0001-79</t>
  </si>
  <si>
    <t>GOIANIA CARTORIO DO SETIMO OFICIO D</t>
  </si>
  <si>
    <t>02.884.419/0001-89</t>
  </si>
  <si>
    <t>02.887.792/0001-93</t>
  </si>
  <si>
    <t>CARTORIO DE REGISTRO DE IMOVEIS E</t>
  </si>
  <si>
    <t>02.889.137/0001-74</t>
  </si>
  <si>
    <t>02.889.640/0001-20</t>
  </si>
  <si>
    <t>NIQUELANDIA CARTORIO DO PRIMEIRO OF</t>
  </si>
  <si>
    <t>02.890.341/0001-05</t>
  </si>
  <si>
    <t>GOIANIRA CARTORIO DO PRIMEIRO OFICI</t>
  </si>
  <si>
    <t>02.890.531/0001-22</t>
  </si>
  <si>
    <t>SAO MIGUEL DO ARAGUAIA CARTORIO 1</t>
  </si>
  <si>
    <t>02.900.264/0001-27</t>
  </si>
  <si>
    <t>NEROPOLIS CARTORIO DO PRIMEIRO OFIC</t>
  </si>
  <si>
    <t>02.900.397/0001-01</t>
  </si>
  <si>
    <t>NEROPOLIS CARTORIO DO  SEGUNDO OFIC</t>
  </si>
  <si>
    <t>02.987.789/0001-41</t>
  </si>
  <si>
    <t>CARTORIO CIVEL DA COMARCA DA FAZEND</t>
  </si>
  <si>
    <t>03.059.296/0001-04</t>
  </si>
  <si>
    <t>CARTORIO CIVEL E ANEXOS DE COLOMBO</t>
  </si>
  <si>
    <t>03.074.420/0001-00</t>
  </si>
  <si>
    <t>COLORADO CARTORIO DISTRIBUIDOR</t>
  </si>
  <si>
    <t>03.129.779/0001-38</t>
  </si>
  <si>
    <t>BARRACAO CARTORIO CIVEL</t>
  </si>
  <si>
    <t>03.159.889/0001-42</t>
  </si>
  <si>
    <t>CARTORIO DO REGISTRO DE IMOVEIS E A</t>
  </si>
  <si>
    <t>03.169.830/0001-35</t>
  </si>
  <si>
    <t>CANINDE CARTORIO DO TERCEIRO OFICIO</t>
  </si>
  <si>
    <t>03.672.950/0001-50</t>
  </si>
  <si>
    <t>MAMBORE CARTORIO DO DISTRIBUIDOR E</t>
  </si>
  <si>
    <t>03.750.663/0001-11</t>
  </si>
  <si>
    <t>ARRAIAL DO CABO CARTORIO OFICIO UNI</t>
  </si>
  <si>
    <t>03.888.773/0001-44</t>
  </si>
  <si>
    <t>CARTORIO DO 1 OFICIO DE PONTA PORA</t>
  </si>
  <si>
    <t>03.935.020/0001-42</t>
  </si>
  <si>
    <t>CARTORIO DO 4 OFICIO CUIABA</t>
  </si>
  <si>
    <t>03.946.720/0001-32</t>
  </si>
  <si>
    <t>CARTORIO DO 1 OFICIO DE REGISTRO DE</t>
  </si>
  <si>
    <t>03.953.577/0001-06</t>
  </si>
  <si>
    <t>CARTORIO DO 1 OFICIO DE TANGARA DA</t>
  </si>
  <si>
    <t>03.979.663/0013-21</t>
  </si>
  <si>
    <t>CARTORIO DA 2 VARA CIVEL DE RIO BRI</t>
  </si>
  <si>
    <t>03.983.295/0001-51</t>
  </si>
  <si>
    <t>CARTORIO DO UNICO OFICIO EXTRAJUDIC</t>
  </si>
  <si>
    <t>04.137.048/0001-05</t>
  </si>
  <si>
    <t>CARTORIO DE REGISTRO DE IMOVEIS DO</t>
  </si>
  <si>
    <t>04.137.295/0001-01</t>
  </si>
  <si>
    <t>CARTORIO DE REGISTRO DE IMOVEIS PRI</t>
  </si>
  <si>
    <t>04.139.473/0001-25</t>
  </si>
  <si>
    <t>CARTORIO DO 4° OFICIO DE NOTAS CORR</t>
  </si>
  <si>
    <t>04.156.378/0001-30</t>
  </si>
  <si>
    <t>CARTORIO DO 1º OFICIO DE NOTAS</t>
  </si>
  <si>
    <t>04.165.653/0001-81</t>
  </si>
  <si>
    <t>CARTORIO CIVEL DA COMARCA DE MANDA</t>
  </si>
  <si>
    <t>04.195.599/0001-17</t>
  </si>
  <si>
    <t>MANDAGUACU CARTORIO DISTRIBUIDOR E</t>
  </si>
  <si>
    <t>04.364.986/0001-30</t>
  </si>
  <si>
    <t>CARTORIO 7 OFICIO DE REGISTRO DE</t>
  </si>
  <si>
    <t>04.395.166/0001-05</t>
  </si>
  <si>
    <t>CARTORIO DA 5.VARA CIVIL</t>
  </si>
  <si>
    <t>04.395.190/0001-44</t>
  </si>
  <si>
    <t>CARTORIO DA 6 VARA CIVEL E ACIDENTE</t>
  </si>
  <si>
    <t>04.395.232/0001-47</t>
  </si>
  <si>
    <t>CARTORIO DA 3 VARA CIVEL E AC</t>
  </si>
  <si>
    <t>04.395.257/0001-40</t>
  </si>
  <si>
    <t>CARTORIO DA 8 VARA CIVEL E ACIDENTE</t>
  </si>
  <si>
    <t>04.395.976/0001-61</t>
  </si>
  <si>
    <t>CARTORIO DA 7 VARA CIVIL E AC DO</t>
  </si>
  <si>
    <t>04.465.670/0001-34</t>
  </si>
  <si>
    <t>CARTORIO DE NOTAS DO 2 OFICIO DA CO</t>
  </si>
  <si>
    <t>04.530.903/0001-35</t>
  </si>
  <si>
    <t>CARTORIO DO QUARTO OFICIO DE PROTES</t>
  </si>
  <si>
    <t>04.536.546/0001-12</t>
  </si>
  <si>
    <t>CARTORIO DO REGISTRO ESPECIAL DE</t>
  </si>
  <si>
    <t>04.542.411/0001-60</t>
  </si>
  <si>
    <t>CARTORIO NOGUEIRA 1 OFICIO</t>
  </si>
  <si>
    <t>04.700.791/0001-13</t>
  </si>
  <si>
    <t>CARTORIO DA SEGUNDA VARA CIVEL</t>
  </si>
  <si>
    <t>04.787.826/0001-01</t>
  </si>
  <si>
    <t>CARTORIO DO UNICO OFICIO DE RONDON</t>
  </si>
  <si>
    <t>04.804.555/0001-47</t>
  </si>
  <si>
    <t>CARTORIO 1 OFICIO DO JUDICIAL E ANE</t>
  </si>
  <si>
    <t>04.809.034/0001-82</t>
  </si>
  <si>
    <t>2 CARTORIO DE DISTRIB.E CONT.FORO</t>
  </si>
  <si>
    <t>04.908.493/0001-13</t>
  </si>
  <si>
    <t>CARTORIO DISTRIBUIDOR E ANEXOS</t>
  </si>
  <si>
    <t>04.954.293/0001-05</t>
  </si>
  <si>
    <t>CARTORIO DO 1 OFICIO DE NOTAS E ANE</t>
  </si>
  <si>
    <t>05.378.360/0001-45</t>
  </si>
  <si>
    <t>CARTORIO DE REGISTRO DE IMOVEIS ANE</t>
  </si>
  <si>
    <t>05.446.249/0001-49</t>
  </si>
  <si>
    <t>CARTORIO DO 3º OFICIO DE JUSTICA DE</t>
  </si>
  <si>
    <t>05.524.275/0001-48</t>
  </si>
  <si>
    <t>CARTORIO DE REGISTRO DE IMOVEIS DE</t>
  </si>
  <si>
    <t>05.602.590/0001-46</t>
  </si>
  <si>
    <t>CARTORIO CIVEL DE CAMPO LARGO</t>
  </si>
  <si>
    <t>05.826.938/0001-89</t>
  </si>
  <si>
    <t>CARTORIO DO TERCEIRO OFICIO DE NOTA</t>
  </si>
  <si>
    <t>05.920.335/0001-41</t>
  </si>
  <si>
    <t>CARTORIO DE REGISTRO DE IMOVEIS E A</t>
  </si>
  <si>
    <t>05.920.913/0001-40</t>
  </si>
  <si>
    <t>06.044.661/0001-03</t>
  </si>
  <si>
    <t>BELO HORIZONTE CARTORIO 10º OFICIO</t>
  </si>
  <si>
    <t>06.142.699/0001-00</t>
  </si>
  <si>
    <t>CARTORIO DO 1 OFICIO</t>
  </si>
  <si>
    <t>06.369.862/0001-72</t>
  </si>
  <si>
    <t>CARTORIO DO SETIMO OFICIO</t>
  </si>
  <si>
    <t>06.572.994/0001-05</t>
  </si>
  <si>
    <t>FORTALEZA CARTORIO DO 3 OFICIO DE N</t>
  </si>
  <si>
    <t>06.573.422/0001-32</t>
  </si>
  <si>
    <t>FORTALEZA CARTORIO DO SETIMO OFICIO</t>
  </si>
  <si>
    <t>06.577.662/0001-05</t>
  </si>
  <si>
    <t>NOVA RUSSAS CARTORIO 2 OFICIO</t>
  </si>
  <si>
    <t>06.621.981/0001-70</t>
  </si>
  <si>
    <t>AQUIRAZ CARTORIO SEGUNDO OFICIO</t>
  </si>
  <si>
    <t>06.677.470/0001-70</t>
  </si>
  <si>
    <t>CARTORIO DE NOTAS DO 3 OFICIO</t>
  </si>
  <si>
    <t>06.718.175/0001-15</t>
  </si>
  <si>
    <t>TERESINA CARTORIO 1 OFICIO NOTAS</t>
  </si>
  <si>
    <t>06.718.191/0001-08</t>
  </si>
  <si>
    <t>TERESINA CARTORIO DO TERCEIRO OFICI</t>
  </si>
  <si>
    <t>06.718.217/0001-18</t>
  </si>
  <si>
    <t>TERESINA CARTORIO SEGUNDO OFICIO DE</t>
  </si>
  <si>
    <t>07.110.023/0001-06</t>
  </si>
  <si>
    <t>CARTORIO DA TERCEIRA VARA CIVEL DA</t>
  </si>
  <si>
    <t>07.149.768/0001-70</t>
  </si>
  <si>
    <t>CARTORIO DE REGISTRO</t>
  </si>
  <si>
    <t>07.243.000/0001-61</t>
  </si>
  <si>
    <t>CARTORIO CIVEL E ANEXOS DA</t>
  </si>
  <si>
    <t>07.504.590/0001-39</t>
  </si>
  <si>
    <t>CARTORIO DO PRIMEIRO OFICIO COMARCA</t>
  </si>
  <si>
    <t>07.518.350/0001-93</t>
  </si>
  <si>
    <t>SAO LUIS 2 CARTORIO DE MOVEIS E EPO</t>
  </si>
  <si>
    <t>07.527.108/0001-86</t>
  </si>
  <si>
    <t>CARTORIO DA VARA CIVEL E ANEXO DA</t>
  </si>
  <si>
    <t>07.867.963/0001-36</t>
  </si>
  <si>
    <t>CARTORIO DO 2 OFICIO</t>
  </si>
  <si>
    <t>07.946.523/0001-74</t>
  </si>
  <si>
    <t>CARTORIO DO NONO TABELIONATO DE NOT</t>
  </si>
  <si>
    <t>08.468.951/0001-00</t>
  </si>
  <si>
    <t>IPANGUACU CARTORIO UNICO</t>
  </si>
  <si>
    <t>08.483.406/0001-84</t>
  </si>
  <si>
    <t>CARTORIO UNICO JUDICIARIO DE ES/RN</t>
  </si>
  <si>
    <t>08.539.629/0001-16</t>
  </si>
  <si>
    <t>SANTO ANTONIO CARTORIO DO PRIMEIRO</t>
  </si>
  <si>
    <t>08.607.103/0001-26</t>
  </si>
  <si>
    <t>BAYEUX CARTORIO PRIMEIRO OFICIO DE</t>
  </si>
  <si>
    <t>08.613.583/0001-38</t>
  </si>
  <si>
    <t>08.798.733/0001-25</t>
  </si>
  <si>
    <t>CARTORIO DA VARA CIVEL DA COMARCA D</t>
  </si>
  <si>
    <t>08.865.815/0001-45</t>
  </si>
  <si>
    <t>CARTORIO DO PRIMEIRO OFICIO DE MATU</t>
  </si>
  <si>
    <t>08.991.525/0001-48</t>
  </si>
  <si>
    <t>CARTORIO PRIMEIRA VA CIVEL DE UMUAR</t>
  </si>
  <si>
    <t>09.010.803/0001-00</t>
  </si>
  <si>
    <t>CARTORIO DE REGISTRO DE IMOVEIS</t>
  </si>
  <si>
    <t>09.421.430/0001-51</t>
  </si>
  <si>
    <t>CARTORIO DA VARA CIVEL DA COMARCA</t>
  </si>
  <si>
    <t>10.462.276/0001-45</t>
  </si>
  <si>
    <t>10.642.181/0001-03</t>
  </si>
  <si>
    <t>VILMO BEDIN CARTORIO</t>
  </si>
  <si>
    <t>10.643.662/0001-33</t>
  </si>
  <si>
    <t>CARTORIO DISTRIBUIDOR CONTADOR</t>
  </si>
  <si>
    <t>10.651.702/0001-99</t>
  </si>
  <si>
    <t>CARTORIO DO DISTRIBUIDOR E ANEXOS</t>
  </si>
  <si>
    <t>10.716.715/0001-07</t>
  </si>
  <si>
    <t>CARTORIO DO CONTADOR PARTIDOR</t>
  </si>
  <si>
    <t>10.734.184/0001-77</t>
  </si>
  <si>
    <t>ALHANDRA CARTORIO UNICO</t>
  </si>
  <si>
    <t>10.789.321/0001-70</t>
  </si>
  <si>
    <t>CARTORIO DA VARA CIVEL E ANEXOS</t>
  </si>
  <si>
    <t>10.981.968/0001-08</t>
  </si>
  <si>
    <t>CARTORIO DE REGISTRO DE IMOVEIS DA</t>
  </si>
  <si>
    <t>11.240.348/0001-72</t>
  </si>
  <si>
    <t>CARTORIO DO 1 OFICIO BOMCONSELHO</t>
  </si>
  <si>
    <t>11.364.593/0001-91</t>
  </si>
  <si>
    <t>CARTORIO DO 1 OFICIO DO REGISTRO GE</t>
  </si>
  <si>
    <t>11.399.821/0001-69</t>
  </si>
  <si>
    <t>1 CARTORIO DE REGISTRO DE IMOVEIS D</t>
  </si>
  <si>
    <t>11.429.372/0001-54</t>
  </si>
  <si>
    <t>CARTORIO DO 2 OFICIO DE LINHARES</t>
  </si>
  <si>
    <t>11.434.198/0001-38</t>
  </si>
  <si>
    <t>CARTORIO DE NOTAS DO QUINTO OFICIO</t>
  </si>
  <si>
    <t>11.454.741/0001-69</t>
  </si>
  <si>
    <t>CARTORIO DO OFICIO UNICO</t>
  </si>
  <si>
    <t>11.464.013/0001-38</t>
  </si>
  <si>
    <t>CARTORIO DO 1 OFICIO DE NOTAS HIPOT</t>
  </si>
  <si>
    <t>11.467.594/0001-61</t>
  </si>
  <si>
    <t>11.469.665/0001-65</t>
  </si>
  <si>
    <t>11.469.962/0001-00</t>
  </si>
  <si>
    <t>SAO JOSE DO EGITO CARTORIO DO 1º OF</t>
  </si>
  <si>
    <t>11.470.275/0001-05</t>
  </si>
  <si>
    <t>CARTORIO DO 2º OFICIO DE NOTAS</t>
  </si>
  <si>
    <t>11.471.125/0001-16</t>
  </si>
  <si>
    <t>CARUARU CARTORIO DO 4 OFICIO DE NOT</t>
  </si>
  <si>
    <t>11.471.158/0001-66</t>
  </si>
  <si>
    <t>CARTORIO UNICO DE SAO CAETANO</t>
  </si>
  <si>
    <t>11.475.472/0001-17</t>
  </si>
  <si>
    <t>CARTORIO IMOBILIARIO DO PRIMEIRO OF</t>
  </si>
  <si>
    <t>11.480.478/0001-82</t>
  </si>
  <si>
    <t>CARTORIO DE REGISTRO DE TITULOS E</t>
  </si>
  <si>
    <t>11.495.955/0001-83</t>
  </si>
  <si>
    <t>CARTORIO DO 1 OFICIO DE ITAPEMIRIM</t>
  </si>
  <si>
    <t>11.511.532/0001-00</t>
  </si>
  <si>
    <t>CARTORIO UNICO DE NOTAS E REGISTRO</t>
  </si>
  <si>
    <t>11.513.884/0001-02</t>
  </si>
  <si>
    <t>11.539.768/0001-54</t>
  </si>
  <si>
    <t>CARTORIO DO 1 OFICIO EXTRAJUDICIAL</t>
  </si>
  <si>
    <t>11.573.672/0001-02</t>
  </si>
  <si>
    <t>RECIFE CARTORIO DO 6 OFICIO DE NOTA</t>
  </si>
  <si>
    <t>11.609.849/0001-83</t>
  </si>
  <si>
    <t>CARTORIO DE IPOJUCA OFICIO UNICO</t>
  </si>
  <si>
    <t>11.691.029/0001-83</t>
  </si>
  <si>
    <t>RECIFE CARTORIO DO TERCEIRO OFICIO</t>
  </si>
  <si>
    <t>11.691.300/0001-80</t>
  </si>
  <si>
    <t>RECIFE - 1 CARTORIO DE TITULOS E</t>
  </si>
  <si>
    <t>12.361.630/0001-70</t>
  </si>
  <si>
    <t>CARTORIO AGUIAR 8 TAB DE NOTAS</t>
  </si>
  <si>
    <t>12.517.207/0001-17</t>
  </si>
  <si>
    <t>ALAGOAS CARTORIO DO 6 OFICIO DE NOT</t>
  </si>
  <si>
    <t>12.517.348/0001-30</t>
  </si>
  <si>
    <t>2º CARTORIO DE REGISTRO GERAL DE IM</t>
  </si>
  <si>
    <t>13.001.706/0001-10</t>
  </si>
  <si>
    <t>LAGARTO CARTORIO 1 OFICIO REGISTRO</t>
  </si>
  <si>
    <t>13.249.149/0001-50</t>
  </si>
  <si>
    <t>ENTRE RIOS CARTORIO DE REGISTRO DE</t>
  </si>
  <si>
    <t>14.947.659/0001-64</t>
  </si>
  <si>
    <t>CUIABA CARTORIO DISTRIBUIDOR NOTAS</t>
  </si>
  <si>
    <t>15.061.468/0001-63</t>
  </si>
  <si>
    <t>ARENAPOLIS CARTORIO DE REGISTRO</t>
  </si>
  <si>
    <t>15.081.771/0001-28</t>
  </si>
  <si>
    <t>CARTORIO ANTONIO XAVIER DE MATOS</t>
  </si>
  <si>
    <t>15.359.441/0001-51</t>
  </si>
  <si>
    <t>CHAPADA DOS GUIMARAES CARTORIO DE</t>
  </si>
  <si>
    <t>15.388.275/0001-11</t>
  </si>
  <si>
    <t>CARTORIO DO 4 OFICIO</t>
  </si>
  <si>
    <t>15.388.630/0001-52</t>
  </si>
  <si>
    <t>15.392.673/0001-01</t>
  </si>
  <si>
    <t>CARTORIO DO 1 OFICIO DE IMOVEIS DE</t>
  </si>
  <si>
    <t>15.409.519/0001-03</t>
  </si>
  <si>
    <t>15.410.517/0001-26</t>
  </si>
  <si>
    <t>TRES LAGOAS CARTORIO DO PRIMEIRO OF</t>
  </si>
  <si>
    <t>15.452.154/0001-91</t>
  </si>
  <si>
    <t>CARTORIO DO 5 OFICIO</t>
  </si>
  <si>
    <t>15.452.188/0001-86</t>
  </si>
  <si>
    <t>CARTORIO DO 8 OFICIO</t>
  </si>
  <si>
    <t>15.452.204/0001-30</t>
  </si>
  <si>
    <t>CARTORIO DO 7 OFICIO DE REG DE IMOV</t>
  </si>
  <si>
    <t>15.469.240/0001-07</t>
  </si>
  <si>
    <t>DOURADOS CARTORIO 1 OFICIO NOTAS E</t>
  </si>
  <si>
    <t>16.746.232/0001-23</t>
  </si>
  <si>
    <t>CARTORIO DO 5 OFICIO DE REG DE IMOV</t>
  </si>
  <si>
    <t>17.391.327/0001-34</t>
  </si>
  <si>
    <t>CARTORIO DO 9 OFICIO NOTAS DE BH</t>
  </si>
  <si>
    <t>18.272.799/0001-30</t>
  </si>
  <si>
    <t>CARTORIO DO 2 OFICIO DE NOTAS DE</t>
  </si>
  <si>
    <t>18.385.424/0001-87</t>
  </si>
  <si>
    <t>20.025.581/0001-23</t>
  </si>
  <si>
    <t>CARTORIO DO 2 OFICIO DE NOTAS DE UB</t>
  </si>
  <si>
    <t>20.025.664/0001-12</t>
  </si>
  <si>
    <t>CARTORIO DO 2º OFICIO DE REGISTRO D</t>
  </si>
  <si>
    <t>20.345.641/0001-95</t>
  </si>
  <si>
    <t>MURIAE-CARTORIO DO 1 OFICIO DE</t>
  </si>
  <si>
    <t>20.372.306/0001-86</t>
  </si>
  <si>
    <t>20.451.258/0001-11</t>
  </si>
  <si>
    <t>CARTORIO DO 3 OFICIO DE REGISTRO DE</t>
  </si>
  <si>
    <t>20.568.168/0001-05</t>
  </si>
  <si>
    <t>CARTORIO DO 3° OFICIO DE NOTAS</t>
  </si>
  <si>
    <t>20.568.184/0001-06</t>
  </si>
  <si>
    <t>20.568.218/0001-54</t>
  </si>
  <si>
    <t>CORACAO DE JESUS CARTORIO DE REGIST</t>
  </si>
  <si>
    <t>20.722.138/0001-01</t>
  </si>
  <si>
    <t>JARDINESIA CARTORIO CIVIL E NOTAS</t>
  </si>
  <si>
    <t>20.878.393/0001-48</t>
  </si>
  <si>
    <t>20.878.427/0001-02</t>
  </si>
  <si>
    <t>SAO FRANCISCO DE PAULA CARTORIO REG</t>
  </si>
  <si>
    <t>21.077.714/0001-78</t>
  </si>
  <si>
    <t>GOVERNADOR VALADARES CARTORIO DE</t>
  </si>
  <si>
    <t>21.140.090/0001-96</t>
  </si>
  <si>
    <t>CARTORIO DO 3 OFICIO DE NOTAS DE SE</t>
  </si>
  <si>
    <t>21.140.116/0001-04</t>
  </si>
  <si>
    <t>FORTUNA DE MINAS CARTORIO DE PAZ E</t>
  </si>
  <si>
    <t>21.250.956/0001-11</t>
  </si>
  <si>
    <t>TEOFILO OTONI CARTORIO DO REGISTRO</t>
  </si>
  <si>
    <t>21.406.848/0001-95</t>
  </si>
  <si>
    <t>CARTORIO MURAD REGISTRO E PROTESTOS</t>
  </si>
  <si>
    <t>21.416.730/0001-48</t>
  </si>
  <si>
    <t>CABO VERDE CARTORIO DO REGISTRO DE</t>
  </si>
  <si>
    <t>21.856.448/0001-81</t>
  </si>
  <si>
    <t>CARTORIO 10 OFICIO DE NOTAS</t>
  </si>
  <si>
    <t>21.856.463/0001-20</t>
  </si>
  <si>
    <t>CARTORIO DO 7 OFICIO DE REGISTRO DE</t>
  </si>
  <si>
    <t>21.856.596/0001-04</t>
  </si>
  <si>
    <t>CARTORIO 2 OFICIO DE NOTAS DE BH</t>
  </si>
  <si>
    <t>21.856.802/0001-78</t>
  </si>
  <si>
    <t>CARTORIO DO 2 OFICIO DE REG TIT E</t>
  </si>
  <si>
    <t>21.856.810/0001-14</t>
  </si>
  <si>
    <t>CARTORIO DO 1 OFICIO REGISTRO DE</t>
  </si>
  <si>
    <t>21.857.362/0001-73</t>
  </si>
  <si>
    <t>CARTORIO DO REGISTRO DE IMOVEIS DE</t>
  </si>
  <si>
    <t>23.040.199/0001-87</t>
  </si>
  <si>
    <t>CARTORIO PRIMEIRO OFICIO DE REGISTR</t>
  </si>
  <si>
    <t>23.443.609/0001-30</t>
  </si>
  <si>
    <t>CARTORIO MIRANDA BEZERRA</t>
  </si>
  <si>
    <t>24.193.179/0001-09</t>
  </si>
  <si>
    <t>CARTORIO UNICO JUDIC DE SENADOR</t>
  </si>
  <si>
    <t>24.566.267/0001-09</t>
  </si>
  <si>
    <t>3 CARTORIO DE IMOVEIS DA CAPITAL</t>
  </si>
  <si>
    <t>25.040.742/0001-71</t>
  </si>
  <si>
    <t>25.043.829/0001-00</t>
  </si>
  <si>
    <t>26.753.921/0001-19</t>
  </si>
  <si>
    <t>CARTORIO DO PRIMEIRO OFICIO REGISTR</t>
  </si>
  <si>
    <t>27.109.511/0001-00</t>
  </si>
  <si>
    <t>CARTORIO DO 2 OFICIO DE REG DE</t>
  </si>
  <si>
    <t>27.109.537/0001-40</t>
  </si>
  <si>
    <t>CARTORIO DO 5 OFICIO DE REGISTRO DE</t>
  </si>
  <si>
    <t>27.109.552/0001-99</t>
  </si>
  <si>
    <t>RIO DE JANEIRO CARTORIO 18º OFICIO</t>
  </si>
  <si>
    <t>27.128.784/0001-94</t>
  </si>
  <si>
    <t>CARTORIO 22 OF DE NOTAS DO RIO DE J</t>
  </si>
  <si>
    <t>27.128.834/0001-33</t>
  </si>
  <si>
    <t>CARTORIO DO 11 OFICIO DE REGISTRO D</t>
  </si>
  <si>
    <t>27.128.925/0001-79</t>
  </si>
  <si>
    <t>CARTORIO 24 OFICIO DE NOTAS</t>
  </si>
  <si>
    <t>27.128.933/0001-15</t>
  </si>
  <si>
    <t>CARTORIO 8 OFICIO DE REG.DE IMOVEIS</t>
  </si>
  <si>
    <t>27.150.648/0001-09</t>
  </si>
  <si>
    <t>CARTORIO DO 15 OFICIO DE NOTAS DRA</t>
  </si>
  <si>
    <t>27.409.380/0001-79</t>
  </si>
  <si>
    <t>CARTORIO 1 OFICIO REGISTRO GERAL DE</t>
  </si>
  <si>
    <t>27.451.442/0001-00</t>
  </si>
  <si>
    <t>SERRA CARTORIO DO PRIMEIRO OFICIO</t>
  </si>
  <si>
    <t>27.559.178/0001-23</t>
  </si>
  <si>
    <t>SAO MATEUS CARTORIO DO 1 OFICIO</t>
  </si>
  <si>
    <t>27.562.305/0001-43</t>
  </si>
  <si>
    <t>LINHARES CARTORIO DO 1 OFICIO</t>
  </si>
  <si>
    <t>27.566.439/0001-32</t>
  </si>
  <si>
    <t>GUARAPARI CARTORIO REGISTRO GERAL D</t>
  </si>
  <si>
    <t>27.567.197/0001-00</t>
  </si>
  <si>
    <t>ECOPORANGA CARTORIO DO PRIMEIRO OFI</t>
  </si>
  <si>
    <t>27.586.163/0001-54</t>
  </si>
  <si>
    <t>RIO DE JANEIRO CARTORIO 7 OFICIO</t>
  </si>
  <si>
    <t>27.586.304/0001-39</t>
  </si>
  <si>
    <t>CARTORIO 6 OFICIO DE REGISTRO DE DI</t>
  </si>
  <si>
    <t>27.761.816/0001-94</t>
  </si>
  <si>
    <t>NITEROI CARTORIO DO SEGUNDO</t>
  </si>
  <si>
    <t>28.014.710/0001-90</t>
  </si>
  <si>
    <t>CARTORIO 4 OFICIO DE REGISTRO DE DI</t>
  </si>
  <si>
    <t>28.530.855/0001-43</t>
  </si>
  <si>
    <t>CARTORIO DO SEGUNDO OFICIO DE</t>
  </si>
  <si>
    <t>28.941.204/0001-46</t>
  </si>
  <si>
    <t>QUARTO CARTORIO DE REGISTRO GERAL D</t>
  </si>
  <si>
    <t>29.233.822/0001-02</t>
  </si>
  <si>
    <t>CARTORIO DO 3 OFICIO DE TERESOPOLIS</t>
  </si>
  <si>
    <t>29.635.059/0001-38</t>
  </si>
  <si>
    <t>MACAE CARTORIO DO SEGUNDO OFICIO</t>
  </si>
  <si>
    <t>29.804.044/0001-56</t>
  </si>
  <si>
    <t>CARTORIO DO 3 OFICIO DE NOTAS</t>
  </si>
  <si>
    <t>29.831.583/0001-84</t>
  </si>
  <si>
    <t>CARTORIO DO 1 OFICIO DE JUSTICA DE</t>
  </si>
  <si>
    <t>29.900.834/0001-35</t>
  </si>
  <si>
    <t>CAMPOS CARTORIO 1 OFICIO NOTAS REGI</t>
  </si>
  <si>
    <t>29.900.859/0001-39</t>
  </si>
  <si>
    <t>CAMPOS CARTORIO DO 3 OFICIO DE NOTA</t>
  </si>
  <si>
    <t>29.900.875/0001-21</t>
  </si>
  <si>
    <t>CAMPOS CARTORIO DO 7 OFICIO DE NOTA</t>
  </si>
  <si>
    <t>29.900.891/0001-14</t>
  </si>
  <si>
    <t>CAMPOS CARTORIO DO 11 OFICIO DE NOT</t>
  </si>
  <si>
    <t>29.900.909/0001-88</t>
  </si>
  <si>
    <t>CARTORIO ALUIZIO MACIEL PINHEIRO</t>
  </si>
  <si>
    <t>30.281.788/0001-12</t>
  </si>
  <si>
    <t>CARTORIO EXTRAJUDICIAL DE CAMPO MAI</t>
  </si>
  <si>
    <t>30.381.362/0001-30</t>
  </si>
  <si>
    <t>DUQUE DE CAXIAS CARTORIO DO</t>
  </si>
  <si>
    <t>30.404.875/0001-10</t>
  </si>
  <si>
    <t>CARTORIO DE BARRA DE MACAE</t>
  </si>
  <si>
    <t>30.442.628/0001-08</t>
  </si>
  <si>
    <t>VOLTA REDONDA CARTORIO DO 1º OFICIO</t>
  </si>
  <si>
    <t>30.586.267/0001-73</t>
  </si>
  <si>
    <t>CARTORIO DO 2 OFICIO DE SILVA JARDI</t>
  </si>
  <si>
    <t>30.589.519/0001-18</t>
  </si>
  <si>
    <t>NITEROI CARTORIO DO DECIMO QUINTO O</t>
  </si>
  <si>
    <t>30.589.535/0001-00</t>
  </si>
  <si>
    <t>CARTORIO LINEU MEIRELLES DO 2 OFICI</t>
  </si>
  <si>
    <t>30.589.550/0001-59</t>
  </si>
  <si>
    <t>CARTORIO DO 8 OFICIO DE NITEROI</t>
  </si>
  <si>
    <t>30.589.584/0001-43</t>
  </si>
  <si>
    <t>NITEROI CARTORIO DECIMO OITAVO OFIC</t>
  </si>
  <si>
    <t>30.590.384/0001-00</t>
  </si>
  <si>
    <t>SAO PEDRO DA ALDEIA CARTORIO 1 OFIC</t>
  </si>
  <si>
    <t>30.590.491/0001-39</t>
  </si>
  <si>
    <t>CARTORIO DO OFICIO UNICO DE</t>
  </si>
  <si>
    <t>30.591.093/0001-37</t>
  </si>
  <si>
    <t>DUAS BARRAS CARTORIO SEGUNDO OFICIO</t>
  </si>
  <si>
    <t>30.591.416/0001-92</t>
  </si>
  <si>
    <t>NOVA FRIBURGO CARTORIO DO PRIMEIRO</t>
  </si>
  <si>
    <t>30.593.347/0001-56</t>
  </si>
  <si>
    <t>ITABORAI CARTORIO 1 OFICIO</t>
  </si>
  <si>
    <t>30.594.444/0001-63</t>
  </si>
  <si>
    <t>CARTORIO DO 2 OFICIO DE JUSTICA DE</t>
  </si>
  <si>
    <t>30.594.451/0001-65</t>
  </si>
  <si>
    <t>SAO GONCALO CARTORIO DO 6 OFICIO DE</t>
  </si>
  <si>
    <t>30.598.049/0001-59</t>
  </si>
  <si>
    <t>MARICA CARTORIO DO 2 OFICIO DE NOTA</t>
  </si>
  <si>
    <t>30.623.227/0001-54</t>
  </si>
  <si>
    <t>DUQUE DE CAXIAS CARTORIO DO SETIMO</t>
  </si>
  <si>
    <t>30.628.598/0001-29</t>
  </si>
  <si>
    <t>1 º CARTORIO DE ITAGUAI</t>
  </si>
  <si>
    <t>30.631.139/0001-02</t>
  </si>
  <si>
    <t>DUQUE DE CAXIAS CARTORIO DO SEXTO O</t>
  </si>
  <si>
    <t>30.645.717/0001-51</t>
  </si>
  <si>
    <t>CARTORIO DO 1º OFICIO DE DUQUE DE C</t>
  </si>
  <si>
    <t>30.649.768/0001-51</t>
  </si>
  <si>
    <t>30.651.434/0001-12</t>
  </si>
  <si>
    <t>NOVA IGUACU CARTORIO DO 2º OFICIO</t>
  </si>
  <si>
    <t>30.651.442/0001-69</t>
  </si>
  <si>
    <t>CARTORIO DO 5º OFICIO DE JUSTICA DE</t>
  </si>
  <si>
    <t>30.651.467/0001-62</t>
  </si>
  <si>
    <t>NOVA IGUACU CARTORIO DO 8º OFICIO</t>
  </si>
  <si>
    <t>30.651.475/0001-09</t>
  </si>
  <si>
    <t>NOVA IGUACU CARTORIO  DO 9 OFICIO</t>
  </si>
  <si>
    <t>30.651.525/0001-58</t>
  </si>
  <si>
    <t>NOVA IGUACU CARTORIO DO 4º OFICIO</t>
  </si>
  <si>
    <t>30.651.962/0001-71</t>
  </si>
  <si>
    <t>DUQUE DE CAXIAS CARTORIO DO QUINTO</t>
  </si>
  <si>
    <t>30.653.232/0001-00</t>
  </si>
  <si>
    <t>BARRA MANSA CARTORIO 4 OFICIO NOTAS</t>
  </si>
  <si>
    <t>30.654.834/0001-81</t>
  </si>
  <si>
    <t>RESENDE CARTORIO 4 OFICIO NOTAS</t>
  </si>
  <si>
    <t>30.656.532/0001-42</t>
  </si>
  <si>
    <t>TRES RIOS CARTORIO DO PRIMEIRO OFIC</t>
  </si>
  <si>
    <t>30.657.019/0001-76</t>
  </si>
  <si>
    <t>CARTORIO DO 2 OFICIO DE SAPUCAIA</t>
  </si>
  <si>
    <t>30.657.563/0001-18</t>
  </si>
  <si>
    <t>3 OFICIO DO CARTORIO DE BARRA DO PI</t>
  </si>
  <si>
    <t>30.657.597/0001-02</t>
  </si>
  <si>
    <t>CARTORIO DO OFICIO UNICO DE MENDES</t>
  </si>
  <si>
    <t>30.657.753/0001-35</t>
  </si>
  <si>
    <t>1 OFICIO DO CARTORIO DE PIRAI</t>
  </si>
  <si>
    <t>30.714.901/0001-06</t>
  </si>
  <si>
    <t>CARTORIO 8 OFICIO DE NOTAS</t>
  </si>
  <si>
    <t>30.714.976/0001-97</t>
  </si>
  <si>
    <t>CARTORIO SEXTO OFICIO DE NOTAS</t>
  </si>
  <si>
    <t>30.715.031/0001-90</t>
  </si>
  <si>
    <t>CARTORIO 9 OFICIO DE REGISTRO DE</t>
  </si>
  <si>
    <t>30.715.338/0001-90</t>
  </si>
  <si>
    <t>RIO DE JANEIRO CARTORIO 7 OFICIO DE</t>
  </si>
  <si>
    <t>30.715.346/0001-37</t>
  </si>
  <si>
    <t>RIO DE JANEIRO CARTORIO 3 OFICIO DE</t>
  </si>
  <si>
    <t>30.715.445/0001-19</t>
  </si>
  <si>
    <t>CARTORIO DO 1 OFICIO DO REGISTRO DE</t>
  </si>
  <si>
    <t>30.742.209/0001-91</t>
  </si>
  <si>
    <t>CARTORIO DO 1 OFICIO DE REGISTRO CI</t>
  </si>
  <si>
    <t>30.965.305/0001-07</t>
  </si>
  <si>
    <t>VITORIA CARTORIO DE REGISTRO DE</t>
  </si>
  <si>
    <t>30.965.644/0001-85</t>
  </si>
  <si>
    <t>CARTORIO 1º OFICIO DE REGISTRO DE</t>
  </si>
  <si>
    <t>30.966.246/0001-83</t>
  </si>
  <si>
    <t>VILA VELHA CARTORIO DO PRIMEIRO OFI</t>
  </si>
  <si>
    <t>30.966.360/0001-03</t>
  </si>
  <si>
    <t>CARTORIO DO 1 OFICIO DE DOMINGOS</t>
  </si>
  <si>
    <t>30.966.378/0001-05</t>
  </si>
  <si>
    <t>RIO BANANAL CARTORIO DE NOTAS</t>
  </si>
  <si>
    <t>30.966.741/0001-92</t>
  </si>
  <si>
    <t>CARTORIO DO 1 OFICIO DE CARIACICA</t>
  </si>
  <si>
    <t>30.978.985/0001-95</t>
  </si>
  <si>
    <t>ALFREDO CHAVES CARTORIO DO PRIMEIRO</t>
  </si>
  <si>
    <t>33.575.812/0001-14</t>
  </si>
  <si>
    <t>34.593.509/0001-07</t>
  </si>
  <si>
    <t>CARTORIO 2º OFICIO DE NOTAS</t>
  </si>
  <si>
    <t>34.847.285/0001-12</t>
  </si>
  <si>
    <t>CARTORIO BEZERRA FALCAO</t>
  </si>
  <si>
    <t>35.161.058/0001-00</t>
  </si>
  <si>
    <t>CARTORIO DO 4 OFICIO CIVEL</t>
  </si>
  <si>
    <t>37.112.737/0001-06</t>
  </si>
  <si>
    <t>CARTORIO DO 4 OFICIO DE NOTAS DE</t>
  </si>
  <si>
    <t>37.115.326/0001-74</t>
  </si>
  <si>
    <t>CARTORIO DO 4 OFICIO DE REGISTRO DE</t>
  </si>
  <si>
    <t>37.200.060/0001-68</t>
  </si>
  <si>
    <t>CARTORIO DO 1 OFICIO DE BRASILANDIA</t>
  </si>
  <si>
    <t>39.795.158/0001-30</t>
  </si>
  <si>
    <t>CARTORIO DA 3 ZONA REGISTRO GERAL</t>
  </si>
  <si>
    <t>40.308.017/0001-25</t>
  </si>
  <si>
    <t>RIO NEGRO CARTORIO CIVEL E ANEXOS</t>
  </si>
  <si>
    <t>45.565.355/0001-66</t>
  </si>
  <si>
    <t>CARTORIO DO 11 TABELIAO DE NOTAS</t>
  </si>
  <si>
    <t>45.565.371/0001-59</t>
  </si>
  <si>
    <t>CARTORIO DE NOTAS DO 12 TABELIAO DE</t>
  </si>
  <si>
    <t>45.565.876/0001-13</t>
  </si>
  <si>
    <t>15 CARTORIO DE REGISTRO</t>
  </si>
  <si>
    <t>45.572.708/0001-55</t>
  </si>
  <si>
    <t>DECIMO OITAVO CARTORIO DE NOTAS</t>
  </si>
  <si>
    <t>45.994.241/0001-31</t>
  </si>
  <si>
    <t>2º CARTORIO DE REGISTRO DE IMOVEIS</t>
  </si>
  <si>
    <t>49.597.347/0001-52</t>
  </si>
  <si>
    <t>CARTORIO DE REGISTRO - VINHEDO</t>
  </si>
  <si>
    <t>50.036.102/0001-35</t>
  </si>
  <si>
    <t>CARTORIO DO 2 TABELIAO DE NOTAS DE</t>
  </si>
  <si>
    <t>50.433.853/0001-95</t>
  </si>
  <si>
    <t>50.460.765/0001-82</t>
  </si>
  <si>
    <t>SEGUNDO CARTORIO DE NOTAS</t>
  </si>
  <si>
    <t>50.732.619/0001-69</t>
  </si>
  <si>
    <t>PRIMEIRO CARTORIO DE REG IMOVEIS E</t>
  </si>
  <si>
    <t>50.780.758/0001-68</t>
  </si>
  <si>
    <t>50.788.934/0001-08</t>
  </si>
  <si>
    <t>ITARARE CARTORIO DE REGISTRO DE IMO</t>
  </si>
  <si>
    <t>50.802.743/0001-53</t>
  </si>
  <si>
    <t>CARTORIO DE REGISTRO CIVIL</t>
  </si>
  <si>
    <t>50.805.175/0001-44</t>
  </si>
  <si>
    <t>ARACOIABA DA SERRA CARTORIO DE REGI</t>
  </si>
  <si>
    <t>51.099.687/0001-03</t>
  </si>
  <si>
    <t>51.099.760/0001-39</t>
  </si>
  <si>
    <t>51.257.491/0001-91</t>
  </si>
  <si>
    <t>SUZANO CARTORIO DE REGISTRO DE IMOV</t>
  </si>
  <si>
    <t>51.258.101/0001-06</t>
  </si>
  <si>
    <t>CARTORIO DE ARMANDO CARNEIRO FILHO</t>
  </si>
  <si>
    <t>51.260.735/0001-95</t>
  </si>
  <si>
    <t>PRIMEIRO CARTORIO DE NOTAS DE GUARU</t>
  </si>
  <si>
    <t>51.270.015/0001-00</t>
  </si>
  <si>
    <t>S JOAO DA BOA VISTA CARTORIO REGIST</t>
  </si>
  <si>
    <t>51.278.547/0001-94</t>
  </si>
  <si>
    <t>CARTORIO DO 1 OFICIAL DE REGISTRO D</t>
  </si>
  <si>
    <t>51.308.385/0001-90</t>
  </si>
  <si>
    <t>PRIMEIRO CARTORIO DE NOTAS</t>
  </si>
  <si>
    <t>51.308.419/0001-46</t>
  </si>
  <si>
    <t>51.322.873/0001-51</t>
  </si>
  <si>
    <t>CARTORIO REGISTRO IMOVEIS DESCALVAD</t>
  </si>
  <si>
    <t>51.324.176/0001-30</t>
  </si>
  <si>
    <t>PRIMEIRO CARTORIO DE REGISTRO DE</t>
  </si>
  <si>
    <t>51.327.153/0001-89</t>
  </si>
  <si>
    <t>2 CARTORIO DE IMOVEIS E ANEXOS</t>
  </si>
  <si>
    <t>51.347.391/0001-56</t>
  </si>
  <si>
    <t>51.359.636/0001-65</t>
  </si>
  <si>
    <t>OLIMPIA CARTORIO DE REGISTRO DE IMO</t>
  </si>
  <si>
    <t>51.373.876/0001-14</t>
  </si>
  <si>
    <t>MOGI DAS CRUZES CARTORIO 2 REG DE</t>
  </si>
  <si>
    <t>51.393.528/0001-09</t>
  </si>
  <si>
    <t>2 CARTORIO DE REGISTRO DE IMOVEIS E</t>
  </si>
  <si>
    <t>51.393.544/0001-00</t>
  </si>
  <si>
    <t>1º CARTORIO DE REGISTRO DE IMOVEIS</t>
  </si>
  <si>
    <t>51.500.700/0001-86</t>
  </si>
  <si>
    <t>PARAGUACU PTA CARTORIO DE REGISTRO</t>
  </si>
  <si>
    <t>51.650.315/0001-15</t>
  </si>
  <si>
    <t>51.653.673/0001-81</t>
  </si>
  <si>
    <t>SANTOS 1 CARTORIO DE REGISTRO DE IM</t>
  </si>
  <si>
    <t>51.653.707/0001-38</t>
  </si>
  <si>
    <t>SANTOS 2 CARTORIO DE REGISTRO DE</t>
  </si>
  <si>
    <t>51.653.715/0001-84</t>
  </si>
  <si>
    <t>SANTOS 3 CARTORIO DE REGISTRO DE IM</t>
  </si>
  <si>
    <t>51.801.074/0001-68</t>
  </si>
  <si>
    <t>PRIMEIRO CARTORIO DE NOTAS DE RIBEI</t>
  </si>
  <si>
    <t>51.806.495/0001-81</t>
  </si>
  <si>
    <t>CARTORIO DO REGISTRO CIVIL DAS P N</t>
  </si>
  <si>
    <t>51.857.332/0001-28</t>
  </si>
  <si>
    <t>1 CARTORIO REGISTRO DE IMOVEIS E</t>
  </si>
  <si>
    <t>51.880.714/0001-72</t>
  </si>
  <si>
    <t>3º CARTORIO DE NOTAS DE CAMPINAS</t>
  </si>
  <si>
    <t>51.880.771/0001-51</t>
  </si>
  <si>
    <t>51.880.789/0001-53</t>
  </si>
  <si>
    <t>3 CARTORIO DE REGISTRO DE IMOVEIS</t>
  </si>
  <si>
    <t>62.450.986/0001-59</t>
  </si>
  <si>
    <t>CARTORIO DO JARDIM AMERICA - 2</t>
  </si>
  <si>
    <t>63.646.525/0001-19</t>
  </si>
  <si>
    <t>CARTORIO HELIO 4 OFICIO DE NOTAS</t>
  </si>
  <si>
    <t>72.547.078/0001-31</t>
  </si>
  <si>
    <t>CARTORIO CIVIL DE SANTA HELENA</t>
  </si>
  <si>
    <t>73.814.790/0001-12</t>
  </si>
  <si>
    <t>CARTORIO REGISTRO DE IMOVEIS TITULO</t>
  </si>
  <si>
    <t>73.842.841/0001-10</t>
  </si>
  <si>
    <t>CARTORIO DO 1 OFICIO DE REGISTRO PU</t>
  </si>
  <si>
    <t>74.054.677/0001-49</t>
  </si>
  <si>
    <t>CARTORIO 1 OFICIO DE REGISTRO PUBLI</t>
  </si>
  <si>
    <t>74.160.656/0001-08</t>
  </si>
  <si>
    <t>CARTORIO DE REGISTRO CIVIL DA 2 CIR</t>
  </si>
  <si>
    <t>75.155.267/0001-57</t>
  </si>
  <si>
    <t>CURITIBA CARTORIO DISTR CONT PART D</t>
  </si>
  <si>
    <t>75.155.572/0001-49</t>
  </si>
  <si>
    <t>CURITIBA CARTORIO 2 OFICIO DE</t>
  </si>
  <si>
    <t>75.155.739/0001-71</t>
  </si>
  <si>
    <t>CARTORIO DA 3 VARA DA FAZENDA PUBLI</t>
  </si>
  <si>
    <t>75.213.389/0001-52</t>
  </si>
  <si>
    <t>75.213.892/0001-08</t>
  </si>
  <si>
    <t>CARTORIO DA VARA CIVEL DE UNIAO DA</t>
  </si>
  <si>
    <t>75.214.783/0001-05</t>
  </si>
  <si>
    <t>CURITIBA CARTORIO REGISTRO IMOVEIS</t>
  </si>
  <si>
    <t>75.229.047/0001-20</t>
  </si>
  <si>
    <t>CURITIBA CARTORIO DO 2 REGISTRO DE</t>
  </si>
  <si>
    <t>75.268.730/0001-77</t>
  </si>
  <si>
    <t>CURITIBA CARTORIO DO 5 REGISTRO DE</t>
  </si>
  <si>
    <t>75.312.512/0001-92</t>
  </si>
  <si>
    <t>MARAVILHA CARTORIO REGISTRO DE</t>
  </si>
  <si>
    <t>75.419.804/0001-29</t>
  </si>
  <si>
    <t>FLORIANOPOLIS CARTORIO DO 2 OFICIO</t>
  </si>
  <si>
    <t>75.421.156/0001-45</t>
  </si>
  <si>
    <t>CARTORIO ALVES</t>
  </si>
  <si>
    <t>75.569.137/0001-60</t>
  </si>
  <si>
    <t>CURITIBA CARTORIO DO 9 REGISTRO DE</t>
  </si>
  <si>
    <t>75.590.281/0001-89</t>
  </si>
  <si>
    <t>3 CARTORIO DISTRIBUIDOR DE PROTESTO</t>
  </si>
  <si>
    <t>75.644.211/0001-66</t>
  </si>
  <si>
    <t>CURITIBA CARTORIO DE REGISTRO DE</t>
  </si>
  <si>
    <t>76.515.089/0001-90</t>
  </si>
  <si>
    <t>ARAUCARIA CARTORIO CIVEL COMERCIO</t>
  </si>
  <si>
    <t>76.714.146/0001-60</t>
  </si>
  <si>
    <t>ENGENHEIRO BELTRAO CARTORIO DO</t>
  </si>
  <si>
    <t>76.752.880/0001-14</t>
  </si>
  <si>
    <t>CARTORIO DA 2 VARA CIVEL DE SAO JOS</t>
  </si>
  <si>
    <t>77.487.734/0001-71</t>
  </si>
  <si>
    <t>PALMEIRA CARTORIO DO CIVEL E ANEXOS</t>
  </si>
  <si>
    <t>77.599.520/0001-97</t>
  </si>
  <si>
    <t>PONTA GROSSA CARTORIO 4 OFICIO CIVE</t>
  </si>
  <si>
    <t>77.610.004/0001-16</t>
  </si>
  <si>
    <t>FRANCISCO BELTRAO CARTORIO DA 2 VAR</t>
  </si>
  <si>
    <t>77.632.966/0001-76</t>
  </si>
  <si>
    <t>PARANAGUA CARTORIO DA PRIMEIRA VARA</t>
  </si>
  <si>
    <t>77.655.686/0001-83</t>
  </si>
  <si>
    <t>JACAREZINHO CARTORIO DO CIVEL E ANE</t>
  </si>
  <si>
    <t>77.715.035/0001-31</t>
  </si>
  <si>
    <t>CASTRO CARTORIO DO CIVEL</t>
  </si>
  <si>
    <t>77.779.379/0001-04</t>
  </si>
  <si>
    <t>GUARAPUAVA CARTORIO CIVEL E COMERCI</t>
  </si>
  <si>
    <t>77.779.619/0001-70</t>
  </si>
  <si>
    <t>PALMAS CARTORIO DO CIVIL E COMERCIO</t>
  </si>
  <si>
    <t>77.779.692/0001-42</t>
  </si>
  <si>
    <t>JAGUARIAIVA CARTORIO DE REGISTRO GE</t>
  </si>
  <si>
    <t>77.779.700/0001-50</t>
  </si>
  <si>
    <t>JAGUARIAIVA CARTORIO DO CIVEL</t>
  </si>
  <si>
    <t>77.780.344/0001-95</t>
  </si>
  <si>
    <t>CARTORIO DISTRIBUIDOR DE IMBITUVA</t>
  </si>
  <si>
    <t>77.780.609/0001-55</t>
  </si>
  <si>
    <t>PONTA GROSSA CARTORIO DO PRIMEIRO</t>
  </si>
  <si>
    <t>77.780.617/0001-00</t>
  </si>
  <si>
    <t>PONTA GROSSA CARTORIO DO SEGUNDO OF</t>
  </si>
  <si>
    <t>77.780.625/0001-48</t>
  </si>
  <si>
    <t>CARTORIO DA 3 VARA CIVEL DA COMARCA</t>
  </si>
  <si>
    <t>77.781.235/0001-92</t>
  </si>
  <si>
    <t>CARTORIO DE REG DE IMOVEIS DO PRIME</t>
  </si>
  <si>
    <t>77.781.250/0001-30</t>
  </si>
  <si>
    <t>GUARAPUAVA CARTORIO PRIMEIRA VARA C</t>
  </si>
  <si>
    <t>77.781.276/0001-89</t>
  </si>
  <si>
    <t>CARTORIO DISTRIBUIDOR DE GUARAPUAVA</t>
  </si>
  <si>
    <t>77.787.265/0001-06</t>
  </si>
  <si>
    <t>CAMPO LARGO CARTORIO DE</t>
  </si>
  <si>
    <t>77.842.144/0001-10</t>
  </si>
  <si>
    <t>MAL CDO RONDON CARTORIO DO CIVEL E</t>
  </si>
  <si>
    <t>77.870.855/0001-06</t>
  </si>
  <si>
    <t>IPORA CARTORIO CIVEL COMERCIO E ANE</t>
  </si>
  <si>
    <t>77.933.380/0001-41</t>
  </si>
  <si>
    <t>PARANACITY CARTORIO DO CIVEL COMERC</t>
  </si>
  <si>
    <t>77.945.343/0001-53</t>
  </si>
  <si>
    <t>FOZ DO IGUACU CARTORIO DO CIVEL 2 V</t>
  </si>
  <si>
    <t>78.024.650/0001-64</t>
  </si>
  <si>
    <t>ROLANDIA CARTORIO CIVEL</t>
  </si>
  <si>
    <t>78.025.079/0001-00</t>
  </si>
  <si>
    <t>LONDRINA CARTORIO DO SETIMO OFICIO</t>
  </si>
  <si>
    <t>78.025.400/0001-49</t>
  </si>
  <si>
    <t>ASTORGA CARTORIO DO CIVEL COMERCIO</t>
  </si>
  <si>
    <t>78.028.941/0001-20</t>
  </si>
  <si>
    <t>78.031.101/0001-17</t>
  </si>
  <si>
    <t>MARILANDIA DO SUL CARTORIO</t>
  </si>
  <si>
    <t>78.031.663/0001-60</t>
  </si>
  <si>
    <t>FAXINAL CARTORIO DO CIVEL COMERCIO</t>
  </si>
  <si>
    <t>78.032.398/0001-35</t>
  </si>
  <si>
    <t>BELA VISTA DO PARAISO CARTORIO</t>
  </si>
  <si>
    <t>78.032.562/0001-04</t>
  </si>
  <si>
    <t>LONDRINA CARTORIO DO CIVEL COMERCIO</t>
  </si>
  <si>
    <t>78.032.596/0001-07</t>
  </si>
  <si>
    <t>LONDRINA CARTORIO CIVEL COMERCIO</t>
  </si>
  <si>
    <t>78.032.604/0001-07</t>
  </si>
  <si>
    <t>78.097.417/0001-01</t>
  </si>
  <si>
    <t>FOZ DO IGUACU CARTORIO DO REGISTRO</t>
  </si>
  <si>
    <t>78.104.890/0001-79</t>
  </si>
  <si>
    <t>CARTORIO DA 1 VARA CIVEL DE CASCAVE</t>
  </si>
  <si>
    <t>78.122.561/0001-50</t>
  </si>
  <si>
    <t>CARTORIO DO CIVEL E COMERCIO</t>
  </si>
  <si>
    <t>78.135.613/0001-23</t>
  </si>
  <si>
    <t>SAO MATEUS DO SUL CARTORIO DE REGIS</t>
  </si>
  <si>
    <t>78.145.513/0001-88</t>
  </si>
  <si>
    <t>CURITIBA SEGUNDO CARTORIO DE PROTES</t>
  </si>
  <si>
    <t>78.173.507/0001-34</t>
  </si>
  <si>
    <t>SAO JOSE DOS PINHAIS CARTORIO REGIS</t>
  </si>
  <si>
    <t>78.186.707/0001-21</t>
  </si>
  <si>
    <t>UMUARAMA CARTORIO 2 OFICIO DE IMOVE</t>
  </si>
  <si>
    <t>78.186.772/0001-57</t>
  </si>
  <si>
    <t>UMUARAMA CARTORIO DE REGISTRO DE</t>
  </si>
  <si>
    <t>78.188.240/0001-59</t>
  </si>
  <si>
    <t>CIANORTE CARTORIO DE REGISTRO DE</t>
  </si>
  <si>
    <t>78.189.412/0001-09</t>
  </si>
  <si>
    <t>NOVA ESPERANCA CARTORIO DE</t>
  </si>
  <si>
    <t>78.190.485/0001-10</t>
  </si>
  <si>
    <t>CAMPO MOURAO CARTORIO DO DISTRIBUID</t>
  </si>
  <si>
    <t>78.195.203/0001-78</t>
  </si>
  <si>
    <t>CARTORIO DA 1 VARA CIVEL DA COMARCA</t>
  </si>
  <si>
    <t>78.196.656/0001-19</t>
  </si>
  <si>
    <t>CAMPO MOURAO CARTORIO DA 2 VARA CIV</t>
  </si>
  <si>
    <t>78.203.791/0001-44</t>
  </si>
  <si>
    <t>LAPA CARTORIO CIVIL ORFAOS E ANEXOS</t>
  </si>
  <si>
    <t>78.250.461/0001-00</t>
  </si>
  <si>
    <t>GUARAPUAVA CARTORIO JUDICIARIO DO</t>
  </si>
  <si>
    <t>78.296.563/0001-66</t>
  </si>
  <si>
    <t>CARTORIO CIVEL E ANEXOS</t>
  </si>
  <si>
    <t>78.297.546/0001-43</t>
  </si>
  <si>
    <t>CARTORIO DO DISTRIBUIDOR</t>
  </si>
  <si>
    <t>78.298.502/0001-38</t>
  </si>
  <si>
    <t>CARTORIO DA VARA CIVEL DE ARAPONGAS</t>
  </si>
  <si>
    <t>78.302.817/0001-01</t>
  </si>
  <si>
    <t>BANDEIRANTES CARTORIO CIVEL COMERCI</t>
  </si>
  <si>
    <t>78.308.467/0001-90</t>
  </si>
  <si>
    <t>CARTORIO DA 9 VARA CIVEL DE LONDRIN</t>
  </si>
  <si>
    <t>78.308.558/0001-26</t>
  </si>
  <si>
    <t>LONDRINA CARTORIO DA DECIMA VARA CI</t>
  </si>
  <si>
    <t>78.310.828/0001-33</t>
  </si>
  <si>
    <t>LONDRINA CARTORIO DA 8 VARA CIVEL</t>
  </si>
  <si>
    <t>78.314.853/0001-95</t>
  </si>
  <si>
    <t>LONDRINA CARTORIO DA 6 VARA CIVEL</t>
  </si>
  <si>
    <t>78.317.930/0001-60</t>
  </si>
  <si>
    <t>LONDRINA CARTORIO DO DISTRIBUIDOR E</t>
  </si>
  <si>
    <t>78.601.267/0001-21</t>
  </si>
  <si>
    <t>CARTORIO DO CIVEL E ANEXOS</t>
  </si>
  <si>
    <t>78.672.987/0001-88</t>
  </si>
  <si>
    <t>CASCAVEL CARTORIO DO CIVEL 3 VARA</t>
  </si>
  <si>
    <t>78.674.017/0001-11</t>
  </si>
  <si>
    <t>CASCAVEL CARTORIO DA 2ª VARA CIVIL</t>
  </si>
  <si>
    <t>79.141.586/0001-64</t>
  </si>
  <si>
    <t>CARTORIO CONTADOR E PARTIDOR</t>
  </si>
  <si>
    <t>79.265.013/0001-42</t>
  </si>
  <si>
    <t>PARANAVAI CARTORIO DA 1° VARA CIVEL</t>
  </si>
  <si>
    <t>79.314.423/0001-36</t>
  </si>
  <si>
    <t>79.321.287/0001-01</t>
  </si>
  <si>
    <t>PINHAO CARTORIO DE REGISTRO DE IMOV</t>
  </si>
  <si>
    <t>79.429.155/0001-06</t>
  </si>
  <si>
    <t>GUARATUBA CARTORIO DISTRIBUIDOR</t>
  </si>
  <si>
    <t>80.168.925/0001-85</t>
  </si>
  <si>
    <t>CARTORIO DE REGISTRO CIVIL CRISTINA</t>
  </si>
  <si>
    <t>80.877.889/0001-29</t>
  </si>
  <si>
    <t>TOLEDO CARTORIO DA 2 VARA CIVEL</t>
  </si>
  <si>
    <t>80.896.624/0001-78</t>
  </si>
  <si>
    <t>MAMBORE CARTORIO DA VARA CIVEL</t>
  </si>
  <si>
    <t>81.502.593/0001-96</t>
  </si>
  <si>
    <t>CARTORIO DO 2 OFICIO DO REGISTRO DE</t>
  </si>
  <si>
    <t>81.765.679/0001-01</t>
  </si>
  <si>
    <t>CARTORIO DE REGISTRO DE IMOVEIS 4 O</t>
  </si>
  <si>
    <t>83.545.806/0001-92</t>
  </si>
  <si>
    <t>CARTORIO DE REG DE IMOVEIS DE GASPA</t>
  </si>
  <si>
    <t>83.563.858/0001-91</t>
  </si>
  <si>
    <t>83.787.309/0001-09</t>
  </si>
  <si>
    <t>RIO NEGRINHO CARTORIO DE REGISTRO</t>
  </si>
  <si>
    <t>83.802.827/0001-46</t>
  </si>
  <si>
    <t>FLORIANOPOLIS CARTORIO DO REGISTRO</t>
  </si>
  <si>
    <t>83.815.944/0001-44</t>
  </si>
  <si>
    <t>SOMBRIO CARTORIO REGISTRO DE IMOVEI</t>
  </si>
  <si>
    <t>87.136.354/0001-46</t>
  </si>
  <si>
    <t>PORTO ALEGRE CARTORIO DE REGISTRO D</t>
  </si>
  <si>
    <t>87.136.586/0001-02</t>
  </si>
  <si>
    <t>CARTORIO REGISTRO TITULOS E DOCUMEN</t>
  </si>
  <si>
    <t>87.381.844/0001-08</t>
  </si>
  <si>
    <t>PORTO ALEGRE CARTORIO DO REGISTRO D</t>
  </si>
  <si>
    <t>87.810.198/0001-57</t>
  </si>
  <si>
    <t>PORTO ALEGRE PRIMEIRO CARTORIO DO C</t>
  </si>
  <si>
    <t>89.875.470/0001-02</t>
  </si>
  <si>
    <t>CARTORIO DO REGISTRO DE IMOVEIS 1ª</t>
  </si>
  <si>
    <t>89.875.629/0001-99</t>
  </si>
  <si>
    <t>PELOTAS CARTORIO DE IMOVEIS DA SEGU</t>
  </si>
  <si>
    <t>89.913.370/0001-23</t>
  </si>
  <si>
    <t>ESTRELA CARTORIO DE REGISTRO DE IMO</t>
  </si>
  <si>
    <t>89.924.146/0001-37</t>
  </si>
  <si>
    <t>CARTORIO DO REGISTRO DE IMOVEIS E</t>
  </si>
  <si>
    <t>89.925.432/0001-17</t>
  </si>
  <si>
    <t>SAO GABRIEL CARTORIO DE REGISTRO DE</t>
  </si>
  <si>
    <t>90.766.353/0001-90</t>
  </si>
  <si>
    <t>SANTA MARIA CARTORIO DE REGISTRO DE</t>
  </si>
  <si>
    <t>90.773.516/0001-61</t>
  </si>
  <si>
    <t>90.791.658/0001-51</t>
  </si>
  <si>
    <t>2 TABELIONATO CARTORIO DORNELLES</t>
  </si>
  <si>
    <t>90.828.682/0001-18</t>
  </si>
  <si>
    <t>GUAIBA CARTORIO DE REGISTRO DE IMOV</t>
  </si>
  <si>
    <t>90.836.305/0001-20</t>
  </si>
  <si>
    <t>OSORIO CARTORIO DE REGISTRO DE IMOV</t>
  </si>
  <si>
    <t>90.983.297/0001-45</t>
  </si>
  <si>
    <t>94.727.146/0001-87</t>
  </si>
  <si>
    <t>CARTORIO DE OFICIO DE BRAGA</t>
  </si>
  <si>
    <t>06.077.673/0001-26</t>
  </si>
  <si>
    <t>A &amp; L PRESTADORA DE SERVICO LTDA</t>
  </si>
  <si>
    <t>06.097.558/0001-13</t>
  </si>
  <si>
    <t>A M MONTEIRO PRESTADORA DE SERVICO</t>
  </si>
  <si>
    <t>17.374.745/0001-13</t>
  </si>
  <si>
    <t>ADM.DE ESTADIOS DO ESTADO DE MG</t>
  </si>
  <si>
    <t>16.745.465/0001-01</t>
  </si>
  <si>
    <t>ADVOCACIA GERAL DO ESTADO</t>
  </si>
  <si>
    <t>62.652.961/0001-38</t>
  </si>
  <si>
    <t>AGENCIA ESTADO LTDA</t>
  </si>
  <si>
    <t>05.951.895/0001-63</t>
  </si>
  <si>
    <t>AMAZON CAR PRESTADORA DE SERVICO</t>
  </si>
  <si>
    <t>17.516.113/0001-47</t>
  </si>
  <si>
    <t>ASSEMBLEIA LEGISLATIVA DO ESTADO</t>
  </si>
  <si>
    <t>15.179.690/0001-65</t>
  </si>
  <si>
    <t>ASSOC CULTURAL BRASIL ESTADOS UNIDO</t>
  </si>
  <si>
    <t>00.388.310/0001-25</t>
  </si>
  <si>
    <t>ASSOC DOS ARTESAOS DO ESTADO DE GOI</t>
  </si>
  <si>
    <t>02.678.197/0001-48</t>
  </si>
  <si>
    <t>ASSOC. CAMINHONEIROS ESTADO GOIAS-A</t>
  </si>
  <si>
    <t>17.027.492/0001-01</t>
  </si>
  <si>
    <t>ASSOCIACAO BELAS ARTES DE PRESTADOR</t>
  </si>
  <si>
    <t>07.644.655/0001-41</t>
  </si>
  <si>
    <t>ASSOCIACAO BRASILEIRA DE PRESTADORE</t>
  </si>
  <si>
    <t>23.834.152/0001-95</t>
  </si>
  <si>
    <t>ASSOCIACAO DE ARQUIVISTAS DO ESTADO</t>
  </si>
  <si>
    <t>33.709.007/0001-36</t>
  </si>
  <si>
    <t>ASSOCIACAO DE BANCOS NO ESTADO DO R</t>
  </si>
  <si>
    <t>13.540.346/0001-24</t>
  </si>
  <si>
    <t>ASSOCIACAO DE PRESTADORES DE SERVIC</t>
  </si>
  <si>
    <t>14.358.299/0001-65</t>
  </si>
  <si>
    <t>ASSOCIACAO DE UROLOGIA DO ESTADO DO</t>
  </si>
  <si>
    <t>09.381.181/0001-18</t>
  </si>
  <si>
    <t>ASSOCIACAO NACIONAL DE PRESTADORES</t>
  </si>
  <si>
    <t>13.511.341/0001-73</t>
  </si>
  <si>
    <t>ASSOCIAÇÃO NEWART DE PRESTADORES DE</t>
  </si>
  <si>
    <t>01.427.589/0001-71</t>
  </si>
  <si>
    <t>ASSOCIACAO PRO CONSUMIDOR DO ESTADO</t>
  </si>
  <si>
    <t>05.585.681/0001-10</t>
  </si>
  <si>
    <t>AUDITORIA GERAL DO ESTADO</t>
  </si>
  <si>
    <t>12.851.456/0001-44</t>
  </si>
  <si>
    <t>AUTO POSTO ESTADO DE SÃO PAULO LTDA</t>
  </si>
  <si>
    <t>07.689.632/0001-53</t>
  </si>
  <si>
    <t>AWESOME PRESTADORA DE SERVICOS DE</t>
  </si>
  <si>
    <t>13.937.131/0042-10</t>
  </si>
  <si>
    <t>BAHIA SEC.DE SAUDE DO ESTADO</t>
  </si>
  <si>
    <t>13.937.131/0053-72</t>
  </si>
  <si>
    <t>13.009.717/0001-46</t>
  </si>
  <si>
    <t>BANCO DO ESTADO DE SERGIPE SA</t>
  </si>
  <si>
    <t>28.127.603/0047-50</t>
  </si>
  <si>
    <t>BANCO DO ESTADO DO ESPIRITO SANTO</t>
  </si>
  <si>
    <t>28.127.603/0076-95</t>
  </si>
  <si>
    <t>76.492.172/0001-91</t>
  </si>
  <si>
    <t>BANCO DO ESTADO DO PARANA S A</t>
  </si>
  <si>
    <t>33.885.724/0032-15</t>
  </si>
  <si>
    <t>BANCO DO ESTADO DO RIO DE JANEIRO</t>
  </si>
  <si>
    <t>92.702.067/0001-96</t>
  </si>
  <si>
    <t>BANCO DO ESTADO DO RIO GRANDE DO SU</t>
  </si>
  <si>
    <t>83.876.003/0001-10</t>
  </si>
  <si>
    <t>BANCO ESTADO DE SANTA CATARINA</t>
  </si>
  <si>
    <t>76.492.172/0052-31</t>
  </si>
  <si>
    <t>BANESTADO S.A</t>
  </si>
  <si>
    <t>60.748.324/0001-34</t>
  </si>
  <si>
    <t>BOLSA DE IMOVEIS DO ESTADO DE SAO</t>
  </si>
  <si>
    <t>02.229.727/0001-70</t>
  </si>
  <si>
    <t>BRASIL PRESTADORA DE SERVICOS</t>
  </si>
  <si>
    <t>89.175.541/0001-64</t>
  </si>
  <si>
    <t>BRIGADA MILITAR DO ESTADO DO RIO GR</t>
  </si>
  <si>
    <t>13.312.421/0001-08</t>
  </si>
  <si>
    <t>C A C PRESTADORA DE SERVICOS LTDA</t>
  </si>
  <si>
    <t>02.145.518/0001-49</t>
  </si>
  <si>
    <t>CACULA BOYS SOC.PRESTADORA</t>
  </si>
  <si>
    <t>02.955.797/0001-06</t>
  </si>
  <si>
    <t>CAMARA DE VAL IMOB DO ESTADO DE MS</t>
  </si>
  <si>
    <t>07.954.480/0001-79</t>
  </si>
  <si>
    <t>cEARA GOVERNO DO ESTADO</t>
  </si>
  <si>
    <t>07.954.480/0002-50</t>
  </si>
  <si>
    <t>CEARA GOVERNO DO ESTADO</t>
  </si>
  <si>
    <t>07.954.480/0003-30</t>
  </si>
  <si>
    <t>62.226.170/0017-03</t>
  </si>
  <si>
    <t>CENTRO DAS IND DO ESTADO DE SAO</t>
  </si>
  <si>
    <t>62.226.170/0001-46</t>
  </si>
  <si>
    <t>CENTRO DAS INDUSTRIAS DO ESTADO DE</t>
  </si>
  <si>
    <t>62.226.170/0046-48</t>
  </si>
  <si>
    <t>92.953.967/0001-06</t>
  </si>
  <si>
    <t>CENTRO DAS INDUSTRIAS DO ESTADO DO</t>
  </si>
  <si>
    <t>28.943.934/0001-86</t>
  </si>
  <si>
    <t>CENTRO DE ABASTECIM.ESTADO DA</t>
  </si>
  <si>
    <t>44.837.524/0001-07</t>
  </si>
  <si>
    <t>CIA  DOCAS DO ESTADO DE SAO PAULO</t>
  </si>
  <si>
    <t>14.372.148/0001-61</t>
  </si>
  <si>
    <t>CIA DA DOCAS DO ESTADO DA BAHIA</t>
  </si>
  <si>
    <t>14.372.148/0002-42</t>
  </si>
  <si>
    <t>CIA DAS DOCAS DO ESTADO DA BAHIA</t>
  </si>
  <si>
    <t>14.372.148/0004-04</t>
  </si>
  <si>
    <t>02.741.679/0001-03</t>
  </si>
  <si>
    <t>CIA DE GAS DO ESTADO DO MATO GROSSO</t>
  </si>
  <si>
    <t>15.139.629/0001-94</t>
  </si>
  <si>
    <t>CIA ELETRICIDADE DO  ESTADO DA BAHI</t>
  </si>
  <si>
    <t>16.636.540/0001-04</t>
  </si>
  <si>
    <t>CIA PROC DE DADOS DO ESTADO DE</t>
  </si>
  <si>
    <t>17.186.370/0123-36</t>
  </si>
  <si>
    <t>CIA.DE ARMAZENS E SILOS  DO ESTADO</t>
  </si>
  <si>
    <t>00.632.393/0001-56</t>
  </si>
  <si>
    <t>CINFA PRESTADORA DE SERVICOS LTDA</t>
  </si>
  <si>
    <t>05.103.818/0001-53</t>
  </si>
  <si>
    <t>CJP PRESTADORA DE SERVICOS LTDA</t>
  </si>
  <si>
    <t>04.729.756/0001-27</t>
  </si>
  <si>
    <t>COMERCIAL E PRESTADORA DE SERVICOS</t>
  </si>
  <si>
    <t>29.322.773/0001-76</t>
  </si>
  <si>
    <t>COMERCIO DE AUTOMOVEIS ESTADO DO</t>
  </si>
  <si>
    <t>43.776.491/0051-39</t>
  </si>
  <si>
    <t>COMPANHIA AMBIENTAL DO ESTADO DE</t>
  </si>
  <si>
    <t>29.613.986/0001-57</t>
  </si>
  <si>
    <t>CONNECT DISTRIBUIDORA E PRESTADORA</t>
  </si>
  <si>
    <t>05.820.858/0001-16</t>
  </si>
  <si>
    <t>COOPERATIVA DE TRANSPORTE DO ESTADO</t>
  </si>
  <si>
    <t>00.750.351/0001-10</t>
  </si>
  <si>
    <t>COOPERATIVA DOS PEDIATRAS ESTADO AM</t>
  </si>
  <si>
    <t>24.835.258/0001-76</t>
  </si>
  <si>
    <t>COOPERATIVA MEDICA DO ESTADO DE GOI</t>
  </si>
  <si>
    <t>01.684.278/0001-98</t>
  </si>
  <si>
    <t>COOPERATIVA PRESTADORA DE SERVICO D</t>
  </si>
  <si>
    <t>04.994.771/0001-00</t>
  </si>
  <si>
    <t>CORPO DE BOMBEIRO MILITAR DO ESTADO</t>
  </si>
  <si>
    <t>03.119.724/0001-47</t>
  </si>
  <si>
    <t>CORREIO DO ESTADO SA</t>
  </si>
  <si>
    <t>11.533.712/0001-92</t>
  </si>
  <si>
    <t>CR MULTI PRESTADORA DE SERVICO DE</t>
  </si>
  <si>
    <t>05.599.094/0001-80</t>
  </si>
  <si>
    <t>DEFENSORIA PUB.ESTADO MINAS GERAIS</t>
  </si>
  <si>
    <t>04.822.060/0001-40</t>
  </si>
  <si>
    <t>DEPARTAMENTO DE TRANSITO DO ESTADO</t>
  </si>
  <si>
    <t>15.883.796/0001-45</t>
  </si>
  <si>
    <t>DETRAN DO ESTADO DE RONDONIA</t>
  </si>
  <si>
    <t>12.286.635/0001-86</t>
  </si>
  <si>
    <t>DINAMUS PRESTADORA DE SERVICOS LTDA</t>
  </si>
  <si>
    <t>83.913.418/0001-17</t>
  </si>
  <si>
    <t>DMF PRESTADORA DE SERVICOS LTDA</t>
  </si>
  <si>
    <t>09.495.216/0001-40</t>
  </si>
  <si>
    <t>DRC PRESTADORA DE SERVICOS LTDA</t>
  </si>
  <si>
    <t>76.568.708/0001-05</t>
  </si>
  <si>
    <t>EDITORA O ESTADO DO PARANA SA</t>
  </si>
  <si>
    <t>73.655.896/0001-10</t>
  </si>
  <si>
    <t>EDITORA REVISTA FISCAL DO ESTADO DO</t>
  </si>
  <si>
    <t>01.182.827/0001-26</t>
  </si>
  <si>
    <t>ELIMAR PRESTADORA DE SERVICOS EM GE</t>
  </si>
  <si>
    <t>42.411.249/0001-30</t>
  </si>
  <si>
    <t>EMPRESA DE OBRAS PUBLICAS DO ESTADO</t>
  </si>
  <si>
    <t>02.733.866/0001-37</t>
  </si>
  <si>
    <t>EPST - EMPRESA PRESTADORA DE SERV E</t>
  </si>
  <si>
    <t>02.617.709/0001-66</t>
  </si>
  <si>
    <t>EPST PRESTADORA DE SERV DE TRANSP L</t>
  </si>
  <si>
    <t>35.949.858/0001-81</t>
  </si>
  <si>
    <t>ESCOLA DA MAGISTRATURA DO ESTADO DO</t>
  </si>
  <si>
    <t>35.793.033/0001-10</t>
  </si>
  <si>
    <t>ESTADO DA ARTE INFORMATICA E</t>
  </si>
  <si>
    <t>00.394.585/0001-71</t>
  </si>
  <si>
    <t>ESTADO DE RONDONIA</t>
  </si>
  <si>
    <t>00.394.429/0054-12</t>
  </si>
  <si>
    <t>ESTADO MAIOR DA AERONAUTICA</t>
  </si>
  <si>
    <t>01.789.835/0001-35</t>
  </si>
  <si>
    <t>ESTAGIARIA PRESTADORA DE SERVIÇOS L</t>
  </si>
  <si>
    <t>11.258.201/0001-00</t>
  </si>
  <si>
    <t>EXATA TERCEIRIZACAO E PRESTADORA DE</t>
  </si>
  <si>
    <t>71.584.833/0019-14</t>
  </si>
  <si>
    <t>FAZENDA PUBLICA DO ESTADO DE SAO PA</t>
  </si>
  <si>
    <t>17.388.158/0001-83</t>
  </si>
  <si>
    <t>FED.TRAB.NA AGRIC.ESTADO DE MINAS G</t>
  </si>
  <si>
    <t>01.618.958/0001-03</t>
  </si>
  <si>
    <t>FEDERACAO DAS IND DO ESTADO DE</t>
  </si>
  <si>
    <t>04.405.064/0001-23</t>
  </si>
  <si>
    <t>FEDERACAO DAS INDUSTRIAS DO ESTADO</t>
  </si>
  <si>
    <t>04.979.076/0001-61</t>
  </si>
  <si>
    <t>08.435.778/0001-35</t>
  </si>
  <si>
    <t>10.054.062/0001-30</t>
  </si>
  <si>
    <t>17.212.069/0013-15</t>
  </si>
  <si>
    <t>33.977.497/0001-51</t>
  </si>
  <si>
    <t>FEDERACAO DE BASQUETEBOL DO ESTADO</t>
  </si>
  <si>
    <t>33.651.308/0001-56</t>
  </si>
  <si>
    <t>FEDERAÇÃO DE FUTEBOL DO ESTADO</t>
  </si>
  <si>
    <t>88.933.320/0001-45</t>
  </si>
  <si>
    <t>FEDERAÇÃO DE VELA DO ESTADO DO RIO</t>
  </si>
  <si>
    <t>14.920.631/0001-33</t>
  </si>
  <si>
    <t>FEMINA PRESTADORA DE SERVICOS MEDIC</t>
  </si>
  <si>
    <t>07.795.841/0001-81</t>
  </si>
  <si>
    <t>FERRONEW PRESTADORA DE SERVICOS</t>
  </si>
  <si>
    <t>04.417.003/0001-86</t>
  </si>
  <si>
    <t>FOX CAR PRESTADORA DE SERVICOS LTDA</t>
  </si>
  <si>
    <t>02.680.822/0001-96</t>
  </si>
  <si>
    <t>FUNCIONAL PRESTADORA DE SERVICOS</t>
  </si>
  <si>
    <t>19.843.929/0001-00</t>
  </si>
  <si>
    <t>FUNDACAO HOSPITALAR ESTADO DE</t>
  </si>
  <si>
    <t>10.814.970/0001-84</t>
  </si>
  <si>
    <t>G E M PRESTADORA DE SERVICOS LTDA</t>
  </si>
  <si>
    <t>00.394.577/0001-25</t>
  </si>
  <si>
    <t>GOV ESTADO DO AMAPA-SEC FAZENDA DO</t>
  </si>
  <si>
    <t>15.412.257/0003-90</t>
  </si>
  <si>
    <t>GOV.DO ESTADO DE MATO GROSSO</t>
  </si>
  <si>
    <t>13.937.123/0001-03</t>
  </si>
  <si>
    <t>GOV.ESTADO DA BA-SEC.TRAB.E ACAO SO</t>
  </si>
  <si>
    <t>06.553.481/0001-49</t>
  </si>
  <si>
    <t>GOVERNO DO ESTADO DO PIAUI</t>
  </si>
  <si>
    <t>02.853.446/0001-94</t>
  </si>
  <si>
    <t>HUMANAS PRESTADORA DE SERVICOS LTDA</t>
  </si>
  <si>
    <t>83.931.659/0001-99</t>
  </si>
  <si>
    <t>IMPRENSA OFICIAL DO ESTADO DE SANTA</t>
  </si>
  <si>
    <t>76.437.383/0001-21</t>
  </si>
  <si>
    <t>IMPRENSA OFICIAL DO ESTADO DO</t>
  </si>
  <si>
    <t>04.164.794/0001-80</t>
  </si>
  <si>
    <t>IMPRENSA OFICIAL DO ESTADO DO AMAZO</t>
  </si>
  <si>
    <t>04.835.476/0001-01</t>
  </si>
  <si>
    <t>IMPRENSA OFICIAL DO ESTADO DO PARA</t>
  </si>
  <si>
    <t>48.066.047/0001-84</t>
  </si>
  <si>
    <t>IMPRENSA OFICIAL DO ESTADO SA</t>
  </si>
  <si>
    <t>08.002.287/0001-09</t>
  </si>
  <si>
    <t>INNOVARE PRESTADORA DE SERVICOS</t>
  </si>
  <si>
    <t>10.926.111/0001-87</t>
  </si>
  <si>
    <t>INST TECN DO ESTADO DE PERNAMBUCO</t>
  </si>
  <si>
    <t>04.885.639/0001-52</t>
  </si>
  <si>
    <t>INST.DE TERRAS DO ESTADO DE MG</t>
  </si>
  <si>
    <t>33.641.788/0001-74</t>
  </si>
  <si>
    <t>INSTITUTO BRASIL ESTADOS UNIDOS</t>
  </si>
  <si>
    <t>31.702.392/0001-64</t>
  </si>
  <si>
    <t>INSTITUTO CULTURAL BRASIL ESTADOS U</t>
  </si>
  <si>
    <t>83.270.082/0001-11</t>
  </si>
  <si>
    <t>INSTITUTO DE METEROLOGIA DO ESTADO</t>
  </si>
  <si>
    <t>41.522.079/0001-06</t>
  </si>
  <si>
    <t>INSTITUTO DE METROLOGIA DO ESTADO D</t>
  </si>
  <si>
    <t>07.218.029/0001-93</t>
  </si>
  <si>
    <t>J G PRESTADORA DE SERVICOS E MANUTE</t>
  </si>
  <si>
    <t>09.007.971/0001-38</t>
  </si>
  <si>
    <t>J J R PRESTADOR DE SERVICOS LTDA</t>
  </si>
  <si>
    <t>02.239.728/0001-04</t>
  </si>
  <si>
    <t>J O SERRANO PRESTADORA DE SERVICOS</t>
  </si>
  <si>
    <t>02.674.872/0001-60</t>
  </si>
  <si>
    <t>J.J.D. PRESTADORA DE SERVICOS LTDA</t>
  </si>
  <si>
    <t>05.474.048/0001-55</t>
  </si>
  <si>
    <t>JARB PRESTADORA DE SERVICOS LTDA</t>
  </si>
  <si>
    <t>05.389.493/0001-17</t>
  </si>
  <si>
    <t>JORNAL O ESTADO DE MATO GROSSO DO S</t>
  </si>
  <si>
    <t>02.088.698/0001-74</t>
  </si>
  <si>
    <t>JUNTA COM DO ESTADO DE GOIAS AUT</t>
  </si>
  <si>
    <t>08.331.175/0001-93</t>
  </si>
  <si>
    <t>JUNTA COMERCIAL DO ESTADO DA PARAIB</t>
  </si>
  <si>
    <t>03.979.614/0001-55</t>
  </si>
  <si>
    <t>JUNTA COMERCIAL DO ESTADO DE MATO</t>
  </si>
  <si>
    <t>17.486.275/0001-80</t>
  </si>
  <si>
    <t>JUNTA COMERCIAL DO ESTADO DE MG</t>
  </si>
  <si>
    <t>10.054.583/0001-97</t>
  </si>
  <si>
    <t>JUNTA COMERCIAL DO ESTADO DE PERNAM</t>
  </si>
  <si>
    <t>08.920.673/0001-71</t>
  </si>
  <si>
    <t>JUNTA COMERCIAL DO ESTADO DE SAO PA</t>
  </si>
  <si>
    <t>16.460.909/0001-62</t>
  </si>
  <si>
    <t>JUNTA COMERCIAL DO ESTADO DE SERGIP</t>
  </si>
  <si>
    <t>34.709.279/0001-07</t>
  </si>
  <si>
    <t>JUNTA COMERCIAL DO ESTADO DO ACRE</t>
  </si>
  <si>
    <t>09.453.523/0001-68</t>
  </si>
  <si>
    <t>JUNTA COMERCIAL DO ESTADO DO CEARA</t>
  </si>
  <si>
    <t>28.152.080/0001-10</t>
  </si>
  <si>
    <t>JUNTA COMERCIAL DO ESTADO DO ESPITI</t>
  </si>
  <si>
    <t>03.110.616/0001-03</t>
  </si>
  <si>
    <t>JUNTA COMERCIAL DO ESTADO DO MATO</t>
  </si>
  <si>
    <t>04.825.329/0001-42</t>
  </si>
  <si>
    <t>JUNTA COMERCIAL DO ESTADO DO PARA</t>
  </si>
  <si>
    <t>08.234.841/0001-75</t>
  </si>
  <si>
    <t>JUNTA COMERCIAL DO ESTADO DO RIO</t>
  </si>
  <si>
    <t>JUNTA COMERCIAL DO ESTADO DO RIO DE</t>
  </si>
  <si>
    <t>42.498.683/0002-80</t>
  </si>
  <si>
    <t>25.053.158/0001-50</t>
  </si>
  <si>
    <t>JUNTA COMERCIAL DO ESTADO DO TOCANT</t>
  </si>
  <si>
    <t>02.267.621/0001-61</t>
  </si>
  <si>
    <t>LA DONNA PRESTADORA DE SERVICOS MED</t>
  </si>
  <si>
    <t>02.401.411/0001-14</t>
  </si>
  <si>
    <t>LF PRESTADORA DE SERVIÇOS E DECORAÇ</t>
  </si>
  <si>
    <t>05.735.693/0001-84</t>
  </si>
  <si>
    <t>M A BASTOS PRESTADORA DE SERVICOS L</t>
  </si>
  <si>
    <t>03.854.741/0002-09</t>
  </si>
  <si>
    <t>MARECHAL PRESTADORA DE SERVICOS LTD</t>
  </si>
  <si>
    <t>01.206.355/0001-02</t>
  </si>
  <si>
    <t>MASTER MIND PRESTADORA DE SERVIÇOS</t>
  </si>
  <si>
    <t>03.507.415/0004-97</t>
  </si>
  <si>
    <t>MATO GROSSO GOV.DO ESTADO</t>
  </si>
  <si>
    <t>03.507.415/0018-92</t>
  </si>
  <si>
    <t>MATO GROSSO GOVERNO DO ESTADO</t>
  </si>
  <si>
    <t>07.500.444/0001-35</t>
  </si>
  <si>
    <t>MEGA VOLTS ELETROTECNICA PRESTADORA</t>
  </si>
  <si>
    <t>08.849.749/0001-10</t>
  </si>
  <si>
    <t>MEIRELES PRESTADORA DE SERVICOS MED</t>
  </si>
  <si>
    <t>18.715.599/0001-05</t>
  </si>
  <si>
    <t>MG SECRETARIA DE ESTADO DA EDUCACAO</t>
  </si>
  <si>
    <t>18.715.615/0028-80</t>
  </si>
  <si>
    <t>MINAS GERAIS SECRETARIA DE ESTADO D</t>
  </si>
  <si>
    <t>02.311.053/0001-59</t>
  </si>
  <si>
    <t>MONACO COMERCIO E PRESTADORA DE</t>
  </si>
  <si>
    <t>01.929.723/0001-32</t>
  </si>
  <si>
    <t>MOREIRA E TOSCANO PRESTADORA DE SER</t>
  </si>
  <si>
    <t>00.394.544/0192-85</t>
  </si>
  <si>
    <t>MS ESC DE REP NO ESTADO DO RIO DE</t>
  </si>
  <si>
    <t>03.410.903/0001-39</t>
  </si>
  <si>
    <t>MSANTOS PRESTADORA DE SERVICOS LTDA</t>
  </si>
  <si>
    <t>05.664.531/0001-00</t>
  </si>
  <si>
    <t>MSL PRESTADORA DE SERVICOS LTDA</t>
  </si>
  <si>
    <t>06.230.042/0001-03</t>
  </si>
  <si>
    <t>NUTRIKANA-PRESTADORA DE SERV.AGR.LT</t>
  </si>
  <si>
    <t>02.854.649/0001-03</t>
  </si>
  <si>
    <t>NUTRIR PRESTADORA DE SERVICOS SC LT</t>
  </si>
  <si>
    <t>04.189.451/0001-70</t>
  </si>
  <si>
    <t>OLIVEIRA SILVA TRANSP.E PRESTADORA</t>
  </si>
  <si>
    <t>05.913.178/0001-47</t>
  </si>
  <si>
    <t>OTIMA PRESTADORA DE SERVICOS GERAIS</t>
  </si>
  <si>
    <t>07.256.298/0001-44</t>
  </si>
  <si>
    <t>OUVIDORIA GERAL DO ESTADO DE MG</t>
  </si>
  <si>
    <t>05.412.855/0001-43</t>
  </si>
  <si>
    <t>OVE BOY SUPPLY PRESTADORA E</t>
  </si>
  <si>
    <t>19.346.312/0001-80</t>
  </si>
  <si>
    <t>PCCAMPOS PRESTADORA DE</t>
  </si>
  <si>
    <t>34.504.589/0001-87</t>
  </si>
  <si>
    <t>PETROCAR PRESTADORA DE SERVICOS LTD</t>
  </si>
  <si>
    <t>11.431.327/0001-34</t>
  </si>
  <si>
    <t>89.522.064/0172-12</t>
  </si>
  <si>
    <t>PODER JUDICIARIO DO ESTADO DO RIO</t>
  </si>
  <si>
    <t>18.715.532/0001-70</t>
  </si>
  <si>
    <t>POLICIA CIVIL DO ESTADO DE MG</t>
  </si>
  <si>
    <t>18.715.532/0002-51</t>
  </si>
  <si>
    <t>18.715.532/0011-42</t>
  </si>
  <si>
    <t>01.409.671/0001-73</t>
  </si>
  <si>
    <t>POLICIA MILITAR DO ESTADO DE GOIAS</t>
  </si>
  <si>
    <t>04.198.514/0120-80</t>
  </si>
  <si>
    <t>POLICIA MILITAR DO ESTADO DE SAO PA</t>
  </si>
  <si>
    <t>04.378.330/0010-67</t>
  </si>
  <si>
    <t>POLICIA MILITAR DO ESTADO DE SP COR</t>
  </si>
  <si>
    <t>16.581.045/0002-18</t>
  </si>
  <si>
    <t>POSTO AVENIDA DO ESTADO LTDA</t>
  </si>
  <si>
    <t>16.581.045/0003-07</t>
  </si>
  <si>
    <t>16.581.045/0004-80</t>
  </si>
  <si>
    <t>16.581.045/0005-60</t>
  </si>
  <si>
    <t>11.771.290/0001-93</t>
  </si>
  <si>
    <t>PRESTADORA DE SERVICO SANTA RITA LT</t>
  </si>
  <si>
    <t>02.957.395/0001-40</t>
  </si>
  <si>
    <t>PRESTADORA DE SERVICOS</t>
  </si>
  <si>
    <t>10.489.611/0001-07</t>
  </si>
  <si>
    <t>PRESTADORA DE SERVICOS A R JUVEVE L</t>
  </si>
  <si>
    <t>00.791.549/0001-41</t>
  </si>
  <si>
    <t>PRESTADORA DE SERVICOS BARBALHO LTD</t>
  </si>
  <si>
    <t>08.471.232/0001-30</t>
  </si>
  <si>
    <t>PRESTADORA DE SERVICOS PORTAL ITALI</t>
  </si>
  <si>
    <t>01.753.874/0001-82</t>
  </si>
  <si>
    <t>PRESTASERV PRESTADORA DE SERVICOS L</t>
  </si>
  <si>
    <t>26.800.524/0002-31</t>
  </si>
  <si>
    <t>PRESTATIVA EMPRESA PRESTADORA DE</t>
  </si>
  <si>
    <t>04.088.258/0001-42</t>
  </si>
  <si>
    <t>PROCURADORIA GERAL DO ESTADO</t>
  </si>
  <si>
    <t>06.622.070/0001-68</t>
  </si>
  <si>
    <t>08.907.750/0001-53</t>
  </si>
  <si>
    <t>PROCURADORIA GERAL DO ESTADO DA</t>
  </si>
  <si>
    <t>02.739.827/0001-47</t>
  </si>
  <si>
    <t>REDE METROLOGICA DO ESTADO DE SAO P</t>
  </si>
  <si>
    <t>84.190.719/0001-22</t>
  </si>
  <si>
    <t>RENASCENCA-PRESTADORA DE SERVICO</t>
  </si>
  <si>
    <t>01.198.721/0001-10</t>
  </si>
  <si>
    <t>RESOLVE PRESTADORA DE SERVICOS LTDA</t>
  </si>
  <si>
    <t>07.608.051/0001-40</t>
  </si>
  <si>
    <t>REVEST MINAS PRESTADORA DE SERVICOS</t>
  </si>
  <si>
    <t>05.504.511/0001-64</t>
  </si>
  <si>
    <t>RIO DE JANEIRO SECRETARIA DE ESTADO</t>
  </si>
  <si>
    <t>28.176.998/0001-07</t>
  </si>
  <si>
    <t>04.617.836/0001-90</t>
  </si>
  <si>
    <t>ROCHA AMARELA PRESTADORA DE SERVICO</t>
  </si>
  <si>
    <t>31.210.644/0001-38</t>
  </si>
  <si>
    <t>ROTOBEL DESENTUPIDORA E PRESTADORA</t>
  </si>
  <si>
    <t>89.550.032/0001-74</t>
  </si>
  <si>
    <t>RS TRIB.DE CONTAS DO ESTADO</t>
  </si>
  <si>
    <t>61.533.949/0001-41</t>
  </si>
  <si>
    <t>S.A O ESTADO DE SAO PAULO</t>
  </si>
  <si>
    <t>17.247.933/0001-80</t>
  </si>
  <si>
    <t>SA ESTADO DE MINAS</t>
  </si>
  <si>
    <t>07.610.855/0001-83</t>
  </si>
  <si>
    <t>SAO JOSE PRESTADORA DE SERVICOS E</t>
  </si>
  <si>
    <t>02.171.749/0001-27</t>
  </si>
  <si>
    <t>SEAN COMERCIAL PRESTADORA DE SERVIÇ</t>
  </si>
  <si>
    <t>06.553.556/0001-91</t>
  </si>
  <si>
    <t>SEC DE FAZ DO ESTADO DO PIAUI</t>
  </si>
  <si>
    <t>24.519.654/0001-94</t>
  </si>
  <si>
    <t>SEC DE FAZ DO ESTADO RIO GRANDE DO</t>
  </si>
  <si>
    <t>12.200.192/0001-69</t>
  </si>
  <si>
    <t>SEC DO ESTADO DE ALAGOAS</t>
  </si>
  <si>
    <t>46.377.222/0001-29</t>
  </si>
  <si>
    <t>27.080.571/0001-30</t>
  </si>
  <si>
    <t>SEC FAZ DO ESTADO DO ESPIRITO SANTO</t>
  </si>
  <si>
    <t>00.394.460/0087-11</t>
  </si>
  <si>
    <t>SEC FAZENDA DO ESTADO DE ALAGOAS</t>
  </si>
  <si>
    <t>93.021.590/0055-02</t>
  </si>
  <si>
    <t>SEC. FAZENDA DO ESTADO RIO GRANDE</t>
  </si>
  <si>
    <t>02.928.510/0001-59</t>
  </si>
  <si>
    <t>SEC.AGRIC.IRRIGADA DO ESTADO CEARA</t>
  </si>
  <si>
    <t>05.541.428/0001-65</t>
  </si>
  <si>
    <t>SEC.DA CONTROLADORIA DO ESTADO DO C</t>
  </si>
  <si>
    <t>07.954.571/0001-04</t>
  </si>
  <si>
    <t>SEC.DA SAUDE DO ESTADO DO CEARA</t>
  </si>
  <si>
    <t>07.954.571/0017-71</t>
  </si>
  <si>
    <t>07.954.571/0022-39</t>
  </si>
  <si>
    <t>25.053.083/0001-08</t>
  </si>
  <si>
    <t>SEC.DE ESTADO DA EDUCAÇÃO E CULTURA</t>
  </si>
  <si>
    <t>25.053.117/0001-64</t>
  </si>
  <si>
    <t>SEC.DE ESTADO DA SAUDE</t>
  </si>
  <si>
    <t>25.053.109/0001-18</t>
  </si>
  <si>
    <t>SEC.DE ESTADO DA SEGURANÇA PÚBLICA</t>
  </si>
  <si>
    <t>03.230.476/0001-07</t>
  </si>
  <si>
    <t>SEC.DE ESTADO DE PLANEJ.E COORD.DF</t>
  </si>
  <si>
    <t>04.034.526/0001-43</t>
  </si>
  <si>
    <t>SEC.DE ESTADO DE SAUDE</t>
  </si>
  <si>
    <t>40.287.047/0001-00</t>
  </si>
  <si>
    <t>SEC.ESTADO DA SEG.PUBLICA-FURESPOL</t>
  </si>
  <si>
    <t>04.312.377/0004-80</t>
  </si>
  <si>
    <t>SECR DA FAZENDA ESTADO DO AMAZONAS</t>
  </si>
  <si>
    <t>05.760.947/0001-14</t>
  </si>
  <si>
    <t>SECR DE ESTADO MEIO AMBIENTE E</t>
  </si>
  <si>
    <t>04.344.840/0001-22</t>
  </si>
  <si>
    <t>SECRET FAZENDA DO ESTADO DO ACRE</t>
  </si>
  <si>
    <t>07.954.555/0001-11</t>
  </si>
  <si>
    <t>SECRETARIA DA CULTURA DO ESTADO DO</t>
  </si>
  <si>
    <t>13.937.073/0001-56</t>
  </si>
  <si>
    <t>SECRETARIA DA FAZENDA DO ESTADO</t>
  </si>
  <si>
    <t>05.541.673/0001-72</t>
  </si>
  <si>
    <t>SECRETARIA DE  ESTADO DA RECEITA</t>
  </si>
  <si>
    <t>51.531.051/0001-80</t>
  </si>
  <si>
    <t>SECRETARIA DE ESTADO DA CULTURA</t>
  </si>
  <si>
    <t>04.312.377/0001-37</t>
  </si>
  <si>
    <t>SECRETARIA DE ESTADO DA FAZ AMAZONA</t>
  </si>
  <si>
    <t>03.526.252/0001-47</t>
  </si>
  <si>
    <t>SECRETARIA DE ESTADO DA FAZENDA MA</t>
  </si>
  <si>
    <t>18.715.615/0083-06</t>
  </si>
  <si>
    <t>SECRETARIA DE ESTADO DA FAZENDA MG</t>
  </si>
  <si>
    <t>42.498.634/0001-66</t>
  </si>
  <si>
    <t>SECRETARIA DE ESTADO DA FAZENDA RJ</t>
  </si>
  <si>
    <t>13.128.798/0011-75</t>
  </si>
  <si>
    <t>SECRETARIA DE ESTADO DA FAZENDA SE</t>
  </si>
  <si>
    <t>42.498.675/0001-52</t>
  </si>
  <si>
    <t>SECRETARIA DE ESTADO DA FAZENDA/RJ</t>
  </si>
  <si>
    <t>40.245.920/0001-94</t>
  </si>
  <si>
    <t>SECRETARIA DE ESTADO DA JUSTICA</t>
  </si>
  <si>
    <t>82.951.245/0001-69</t>
  </si>
  <si>
    <t>SECRETARIA DE ESTADO DA SAUDE - FUN</t>
  </si>
  <si>
    <t>46.374.500/0125-24</t>
  </si>
  <si>
    <t>SECRETARIA DE ESTADO DA SAUDE DE S</t>
  </si>
  <si>
    <t>13.128.798/0021-47</t>
  </si>
  <si>
    <t>SECRETARIA DE ESTADO DA SEGURANCA</t>
  </si>
  <si>
    <t>03.216.036/0001-03</t>
  </si>
  <si>
    <t>SECRETARIA DE ESTADO DE COORDENACAO</t>
  </si>
  <si>
    <t>19.138.890/0001-20</t>
  </si>
  <si>
    <t>SECRETARIA DE ESTADO DE CULTURA</t>
  </si>
  <si>
    <t>05.480.378/0001-53</t>
  </si>
  <si>
    <t>SECRETARIA DE ESTADO DE DESENVOLVI</t>
  </si>
  <si>
    <t>02.935.843/0001-05</t>
  </si>
  <si>
    <t>SECRETARIA DE ESTADO DE FAZENDA MS</t>
  </si>
  <si>
    <t>06.309.631/0001-73</t>
  </si>
  <si>
    <t>SECRETARIA DE ESTADO DE FISCALIZACA</t>
  </si>
  <si>
    <t>06.354.500/0001-08</t>
  </si>
  <si>
    <t>SECRETARIA DE ESTADO DE SEGURANCA</t>
  </si>
  <si>
    <t>76.416.932/0001-81</t>
  </si>
  <si>
    <t>08.730.095/0001-00</t>
  </si>
  <si>
    <t>SECRETARIA DE ESTADO DE SEGURANCA E</t>
  </si>
  <si>
    <t>87.958.617/0001-00</t>
  </si>
  <si>
    <t>SECRETARIA DE ESTADO DE TRANSPORTES</t>
  </si>
  <si>
    <t>63.752.604/0001-04</t>
  </si>
  <si>
    <t>SECRETARIA DE ESTADO DO DESENVOLVI</t>
  </si>
  <si>
    <t>07.531.295/0002-52</t>
  </si>
  <si>
    <t>SECRETARIA DE ESTADO DO DESENVOLVIM</t>
  </si>
  <si>
    <t>42.498.709/0001-09</t>
  </si>
  <si>
    <t>SECRETARIA DE ESTADO DO MEIO AMBIEN</t>
  </si>
  <si>
    <t>68.621.671/0001-03</t>
  </si>
  <si>
    <t>03.500.589/0001-85</t>
  </si>
  <si>
    <t>SECRETARIA DE ESTADO E TURISMO</t>
  </si>
  <si>
    <t>78.393.592/0001-46</t>
  </si>
  <si>
    <t>SECRETARIA DE FAZENDA ESTADO DO PAR</t>
  </si>
  <si>
    <t>46.374.500/0001-94</t>
  </si>
  <si>
    <t>SECRETARIA DO ESTADO DA SAUDE</t>
  </si>
  <si>
    <t>04.603.701/0001-76</t>
  </si>
  <si>
    <t>SECRETARIA ESTADO DE INFRA ESTRUTUR</t>
  </si>
  <si>
    <t>05.054.903/0001-79</t>
  </si>
  <si>
    <t>SECRETARIA FAZENDA DO ESTADO PARA</t>
  </si>
  <si>
    <t>46.377.222/0005-52</t>
  </si>
  <si>
    <t>SECRETARIA FAZENDA ESTADO DE SP</t>
  </si>
  <si>
    <t>46.377.222/0009-86</t>
  </si>
  <si>
    <t>SECRETARIA FAZENDA ESTADO DO PARANA</t>
  </si>
  <si>
    <t>46.377.222/0002-00</t>
  </si>
  <si>
    <t>SECRETARIA FAZENDA ESTADO SAO PAULO</t>
  </si>
  <si>
    <t>46.377.222/0004-71</t>
  </si>
  <si>
    <t>06.182.963/0001-30</t>
  </si>
  <si>
    <t>SERVIPRES PRESTADORA DE SERVICOS LT</t>
  </si>
  <si>
    <t>04.546.828/0001-09</t>
  </si>
  <si>
    <t>SETE MARES PRESTADORA DE SERVICOS</t>
  </si>
  <si>
    <t>03.774.183/0001-90</t>
  </si>
  <si>
    <t>SHINE PRESTADORA DE SERVICOS LTDA</t>
  </si>
  <si>
    <t>04.542.785/0001-85</t>
  </si>
  <si>
    <t>SICLO PRESTADORA DE SERVIÇOS INDUST</t>
  </si>
  <si>
    <t>02.553.872/0001-02</t>
  </si>
  <si>
    <t>SILVEIRA PRESTADORA DE SERVICOS LTD</t>
  </si>
  <si>
    <t>30.140.644/0001-46</t>
  </si>
  <si>
    <t>SIND COM VAREJ DERIV PETR ESTADO RJ</t>
  </si>
  <si>
    <t>17.430.851/0001-77</t>
  </si>
  <si>
    <t>SIND TRAB COM MIN DER PETR ESTADO</t>
  </si>
  <si>
    <t>15.605.801/0001-58</t>
  </si>
  <si>
    <t>SIND TRAB ROD DO ESTADO DE SERGIPE</t>
  </si>
  <si>
    <t>04.138.210/0001-00</t>
  </si>
  <si>
    <t>SIND TRAB RODO ESTADO DO PARA</t>
  </si>
  <si>
    <t>07.339.955/0001-17</t>
  </si>
  <si>
    <t>SIND TRAB TRANSP ROD ESTADO DO</t>
  </si>
  <si>
    <t>92.675.362/0001-09</t>
  </si>
  <si>
    <t>SINDICATO DOS ENGENHEIROS DO ESTADO</t>
  </si>
  <si>
    <t>10.967.399/0001-38</t>
  </si>
  <si>
    <t>SONAR SOLUCOES PRESTADORA</t>
  </si>
  <si>
    <t>25.108.457/0001-45</t>
  </si>
  <si>
    <t>SUP.SERV.AERO ESTADO GOIAS</t>
  </si>
  <si>
    <t>17.118.474/0001-35</t>
  </si>
  <si>
    <t>T E A PRESTADORA DE SERVICOS LTDA</t>
  </si>
  <si>
    <t>03.468.227/0001-54</t>
  </si>
  <si>
    <t>TAKBEL-PRESTADORA DE SERVICOS</t>
  </si>
  <si>
    <t>03.429.870/0001-79</t>
  </si>
  <si>
    <t>TEC VILA 85 PRESTADORA DE SERVICOS</t>
  </si>
  <si>
    <t>06.016.641/0001-10</t>
  </si>
  <si>
    <t>TGS PRESTADORA DE SERVICOS LOCACOES</t>
  </si>
  <si>
    <t>07.274.282/0001-64</t>
  </si>
  <si>
    <t>TRADICIONAL PRESTADORA DE SERVICOS</t>
  </si>
  <si>
    <t>56.908.569/0001-04</t>
  </si>
  <si>
    <t>TRANSPORTADORA ESTADO LTDA</t>
  </si>
  <si>
    <t>43.643.139/0001-66</t>
  </si>
  <si>
    <t>UNIMED DO ESTADO DE SAO PAULO</t>
  </si>
  <si>
    <t>14.485.841/0029-41</t>
  </si>
  <si>
    <t>UNIVERSIDADE DO ESTADO DA BAHIA</t>
  </si>
  <si>
    <t>33.540.014/0001-57</t>
  </si>
  <si>
    <t>UNIVERSIDADE DO ESTADO DO RIO DE</t>
  </si>
  <si>
    <t>00.031.708/0002-90</t>
  </si>
  <si>
    <t>SINDICATO DOS PERMISSIONARIOS E</t>
  </si>
  <si>
    <t>00.449.439/0001-04</t>
  </si>
  <si>
    <t>SINDICATO DO COMERCIO VAREJISTA DE</t>
  </si>
  <si>
    <t>00.799.213/0001-25</t>
  </si>
  <si>
    <t>SINDICATO COM.VAR.DER.PETR.EST.DE</t>
  </si>
  <si>
    <t>00.854.843/0001-55</t>
  </si>
  <si>
    <t>SINDICATO DOS TRABALHADORES NO COME</t>
  </si>
  <si>
    <t>00.895.990/0001-73</t>
  </si>
  <si>
    <t>SINDICATO DOS TAXISTAS CONDUTORES</t>
  </si>
  <si>
    <t>01.144.046/0001-47</t>
  </si>
  <si>
    <t>01.427.736/0001-03</t>
  </si>
  <si>
    <t>SINDICATO RURAL DE SORRISO</t>
  </si>
  <si>
    <t>01.477.053/0001-60</t>
  </si>
  <si>
    <t>SINDICATO INTER DAS EMPRESAS DIST V</t>
  </si>
  <si>
    <t>01.890.947/0001-88</t>
  </si>
  <si>
    <t>SINDICATO DOS ARMADORES DE PESCA DO</t>
  </si>
  <si>
    <t>02.029.488/0001-05</t>
  </si>
  <si>
    <t>SINDICATO DOS TRABALHADORES EM POST</t>
  </si>
  <si>
    <t>02.131.241/0001-03</t>
  </si>
  <si>
    <t>SINDICATO RURAL DE FORMOSA</t>
  </si>
  <si>
    <t>02.259.475/0001-22</t>
  </si>
  <si>
    <t>SINDICATO RURAL DE JARDIM</t>
  </si>
  <si>
    <t>02.967.096/0001-97</t>
  </si>
  <si>
    <t>SINDICATO DAS EMPRESAS DE TRANSPORT</t>
  </si>
  <si>
    <t>03.236.627/0001-34</t>
  </si>
  <si>
    <t>SINDICATO INTERMUNICIPAL DA INDUSTR</t>
  </si>
  <si>
    <t>03.325.966/0001-97</t>
  </si>
  <si>
    <t>SINDICATO RURAL DE CAMPO GRANDE</t>
  </si>
  <si>
    <t>03.330.180/0001-68</t>
  </si>
  <si>
    <t>SINDICATO COND.VEICULOS ROD CORUMBA</t>
  </si>
  <si>
    <t>03.488.343/0001-35</t>
  </si>
  <si>
    <t>SINDICATO RURAL DE CUIABA</t>
  </si>
  <si>
    <t>03.845.070/0001-39</t>
  </si>
  <si>
    <t>SINDICATO DOS PRODUTORES RURAIS DE</t>
  </si>
  <si>
    <t>03.898.900/0001-96</t>
  </si>
  <si>
    <t>SINDICATO INT IND MIST ENV PRODUTOS</t>
  </si>
  <si>
    <t>03.982.765/0001-62</t>
  </si>
  <si>
    <t>04.603.197/0001-04</t>
  </si>
  <si>
    <t>04.975.645/0001-09</t>
  </si>
  <si>
    <t>SINDICATO DAS EMPRESAS DE NAVEGACAO</t>
  </si>
  <si>
    <t>05.387.287/0001-78</t>
  </si>
  <si>
    <t>05.733.886/0001-04</t>
  </si>
  <si>
    <t>SINDICATO DOS REVENDEDORES DE</t>
  </si>
  <si>
    <t>07.339.203/0001-56</t>
  </si>
  <si>
    <t>SINDICATO DO COM VAREJISTA  DE DERI</t>
  </si>
  <si>
    <t>07.967.082/0001-97</t>
  </si>
  <si>
    <t>SINDICATO NACIONAL DOS TRANSPORTADO</t>
  </si>
  <si>
    <t>08.179.496/0001-14</t>
  </si>
  <si>
    <t>08.491.516/0001-98</t>
  </si>
  <si>
    <t>08.533.549/0001-53</t>
  </si>
  <si>
    <t>SINDICATO DOS EMPREGADOS DE EMPRESA</t>
  </si>
  <si>
    <t>09.561.077/0001-05</t>
  </si>
  <si>
    <t>SINDICATO DOS OPERARIOS NOS SERVICO</t>
  </si>
  <si>
    <t>11.008.703/0001-82</t>
  </si>
  <si>
    <t>11.573.139/0001-40</t>
  </si>
  <si>
    <t>SINDICATO DOS OFICIAIS DE</t>
  </si>
  <si>
    <t>12.158.176/0001-55</t>
  </si>
  <si>
    <t>SINDICATO DOS EMPREGADOS NO COMERCI</t>
  </si>
  <si>
    <t>13.183.009/0001-27</t>
  </si>
  <si>
    <t>13.251.368/0001-74</t>
  </si>
  <si>
    <t>SINDICATO DOS ARRUMADORES NO COMERC</t>
  </si>
  <si>
    <t>13.471.771/0001-09</t>
  </si>
  <si>
    <t>SINDICATO DAS DISTRIBUIDORAS DE</t>
  </si>
  <si>
    <t>13.629.795/0001-43</t>
  </si>
  <si>
    <t>SINDICATO COND.AUTON.VEIC.ROD.ILHEU</t>
  </si>
  <si>
    <t>13.820.638/0001-10</t>
  </si>
  <si>
    <t>13.860.521/0001-60</t>
  </si>
  <si>
    <t>13.968.629/0001-71</t>
  </si>
  <si>
    <t>13.995.589/0001-57</t>
  </si>
  <si>
    <t>14.135.495/0001-70</t>
  </si>
  <si>
    <t>SINDICATO DOS TAXISTAS DE ALTAMIRA</t>
  </si>
  <si>
    <t>14.799.068/0001-97</t>
  </si>
  <si>
    <t>14.953.517/0001-00</t>
  </si>
  <si>
    <t>15.243.512/0001-56</t>
  </si>
  <si>
    <t>SINDICATO DO COMERCIO DE COMBUSTIVE</t>
  </si>
  <si>
    <t>15.435.977/0001-09</t>
  </si>
  <si>
    <t>15.939.416/0001-47</t>
  </si>
  <si>
    <t>17.409.988/0001-40</t>
  </si>
  <si>
    <t>SINDICATO DO COMERCIO VAREJISTA E D</t>
  </si>
  <si>
    <t>18.937.370/0001-15</t>
  </si>
  <si>
    <t>21.692.700/0001-64</t>
  </si>
  <si>
    <t>SINTRAPETRO SINDICATO DOS</t>
  </si>
  <si>
    <t>23.350.358/0001-40</t>
  </si>
  <si>
    <t>23.370.570/0001-79</t>
  </si>
  <si>
    <t>SINDICATO DOS TRABALHADORES NO</t>
  </si>
  <si>
    <t>24.671.588/0001-73</t>
  </si>
  <si>
    <t>24.770.869/0001-83</t>
  </si>
  <si>
    <t>25.220.062/0001-30</t>
  </si>
  <si>
    <t>27.264.399/0001-74</t>
  </si>
  <si>
    <t>SINDICATO DA INDUSTRIA DE ROCHAS</t>
  </si>
  <si>
    <t>27.432.889/0001-32</t>
  </si>
  <si>
    <t>27.476.340/0001-40</t>
  </si>
  <si>
    <t>SINDICATO DOS TRABALHADORES COMERCI</t>
  </si>
  <si>
    <t>28.164.473/0001-43</t>
  </si>
  <si>
    <t>SINDICATO DA INDUSTRIA DA CONSTRUCA</t>
  </si>
  <si>
    <t>30.962.963/0001-37</t>
  </si>
  <si>
    <t>32.479.073/0001-02</t>
  </si>
  <si>
    <t>SINDICATO DOS TRABALHADORES EM EMPR</t>
  </si>
  <si>
    <t>32.700.197/0001-68</t>
  </si>
  <si>
    <t>SINDICATO DOS TECNICOS DE SEGURANCA</t>
  </si>
  <si>
    <t>33.042.730/0067-30</t>
  </si>
  <si>
    <t>CIA SINDICATO NACIONAL</t>
  </si>
  <si>
    <t>33.630.989/0001-76</t>
  </si>
  <si>
    <t>SINDICATO INDS TINTAS E VERNIZES PR</t>
  </si>
  <si>
    <t>SINDICATO NACIONAL DA EMPRESAS</t>
  </si>
  <si>
    <t>33.643.925/0001-00</t>
  </si>
  <si>
    <t>33.822.057/0001-25</t>
  </si>
  <si>
    <t>SINDICATO DAS EMPRESAS DO TRANSPORT</t>
  </si>
  <si>
    <t>34.037.879/0001-68</t>
  </si>
  <si>
    <t>SINDICATO DA INDUSTRIA DE REPARACAO</t>
  </si>
  <si>
    <t>34.053.538/0001-86</t>
  </si>
  <si>
    <t>SINDICATO DOS CORRETORES DE IMOVEIS</t>
  </si>
  <si>
    <t>34.481.853/0001-04</t>
  </si>
  <si>
    <t>34.544.015/0001-32</t>
  </si>
  <si>
    <t>SINDICATO DOS FUNCIONARIOS</t>
  </si>
  <si>
    <t>37.117.421/0001-07</t>
  </si>
  <si>
    <t>SINDICATO NACIONAL DAS EMPRESAS DE</t>
  </si>
  <si>
    <t>44.719.532/0001-59</t>
  </si>
  <si>
    <t>SINDICATO RURAL DE BROTAS</t>
  </si>
  <si>
    <t>45.341.302/0001-61</t>
  </si>
  <si>
    <t>SINDICATO RURAL DE MATAO</t>
  </si>
  <si>
    <t>51.879.880/0001-59</t>
  </si>
  <si>
    <t>52.845.229/0001-20</t>
  </si>
  <si>
    <t>SINDICATO NACIONAL DO COMERCIO</t>
  </si>
  <si>
    <t>53.303.210/0001-15</t>
  </si>
  <si>
    <t>53.715.207/0001-09</t>
  </si>
  <si>
    <t>54.207.766/0001-70</t>
  </si>
  <si>
    <t>54.666.078/0001-79</t>
  </si>
  <si>
    <t>SINDICATO DOS EMPREGADOS DESENHISTA</t>
  </si>
  <si>
    <t>56.352.891/0001-08</t>
  </si>
  <si>
    <t>SINDICATO TRAB NO COMERCIO DE MINER</t>
  </si>
  <si>
    <t>56.358.682/0001-63</t>
  </si>
  <si>
    <t>57.731.937/0001-54</t>
  </si>
  <si>
    <t>SINDICAM - SINDICATO DOS TRANSPORTA</t>
  </si>
  <si>
    <t>58.983.073/0001-20</t>
  </si>
  <si>
    <t>59.013.680/0001-20</t>
  </si>
  <si>
    <t>SINDICATO DO COMERCIO VAREJISTA</t>
  </si>
  <si>
    <t>60.135.183/0001-84</t>
  </si>
  <si>
    <t>SINDICATO DAS EMPRESAS DE TRANSP</t>
  </si>
  <si>
    <t>60.262.425/0003-62</t>
  </si>
  <si>
    <t>SINDICATO DA MICRO E PEQUENA INDUST</t>
  </si>
  <si>
    <t>60.961.083/0001-07</t>
  </si>
  <si>
    <t>61.651.675/0006-08</t>
  </si>
  <si>
    <t>SINDICATO EMPREG EM ESTAB BANCARIOS</t>
  </si>
  <si>
    <t>62.267.760/0001-17</t>
  </si>
  <si>
    <t>SINDICATO NACIONAL DA INDUSTRIA DE</t>
  </si>
  <si>
    <t>62.620.232/0001-08</t>
  </si>
  <si>
    <t>62.649.637/0001-60</t>
  </si>
  <si>
    <t>SINDICATO DA INDUSTRIA DE TINTAS E</t>
  </si>
  <si>
    <t>62.803.127/0001-04</t>
  </si>
  <si>
    <t>63.225.858/0001-74</t>
  </si>
  <si>
    <t>67.180.224/0001-01</t>
  </si>
  <si>
    <t>67.983.734/0001-09</t>
  </si>
  <si>
    <t>SINDICATO INTERESTADUAL DO COMERCIO</t>
  </si>
  <si>
    <t>76.684.737/0001-32</t>
  </si>
  <si>
    <t>76.695.584/0001-29</t>
  </si>
  <si>
    <t>SINDICATO DO COM VAREJISTA DE COMBU</t>
  </si>
  <si>
    <t>78.376.472/0001-30</t>
  </si>
  <si>
    <t>SINDICATO DAS EMPRESAS DE COMPRA</t>
  </si>
  <si>
    <t>78.973.617/0001-80</t>
  </si>
  <si>
    <t>81.650.640/0001-49</t>
  </si>
  <si>
    <t>83.165.696/0001-33</t>
  </si>
  <si>
    <t>84.307.917/0001-23</t>
  </si>
  <si>
    <t>SINDICATO DE SANTA CATARINA</t>
  </si>
  <si>
    <t>92.758.267/0001-60</t>
  </si>
  <si>
    <t>92.946.334/0001-70</t>
  </si>
  <si>
    <t>SINDICATO INTERMUNICIPAL DO COMERCI</t>
  </si>
  <si>
    <t>92.964.451/0001-67</t>
  </si>
  <si>
    <t>96.486.634/0001-75</t>
  </si>
  <si>
    <t>SINDICATO DOS TRAB NO COM DE MIN E</t>
  </si>
  <si>
    <t>CARTORIO</t>
  </si>
  <si>
    <t>JUCERJA</t>
  </si>
  <si>
    <t>REG.ORG</t>
  </si>
  <si>
    <t>38.203.403/0001-00</t>
  </si>
  <si>
    <t>ICL</t>
  </si>
  <si>
    <t>Tribunal de Justiça de Pernambuco</t>
  </si>
  <si>
    <t>32.323.149/0001-06</t>
  </si>
  <si>
    <t>ASSOCIACAO BRASILEIRA DOS TERM</t>
  </si>
  <si>
    <t>33.634.254/0001-10</t>
  </si>
  <si>
    <t>INSTITUTO BRASILEIRO DE PETROLEO GAS</t>
  </si>
  <si>
    <t>40.461.472/0001-66</t>
  </si>
  <si>
    <t>ASSOCIACAO BRASILEIRA DE DOWNSTREAM</t>
  </si>
  <si>
    <t>CARTÓRIO DO ÓFICIO ÚNICO DE ARMAÇÃO DE BUZIOS</t>
  </si>
  <si>
    <t>44.608.776/0001-64</t>
  </si>
  <si>
    <t>01.082.331/0001-80</t>
  </si>
  <si>
    <t>INSTITUTO BRASILEIRO DE GOVERNANCA</t>
  </si>
  <si>
    <t>82.951.310/0001-56</t>
  </si>
  <si>
    <t>SEC DA FAZ DO EST DE STA CATARINA</t>
  </si>
  <si>
    <t>05.424.540/0001-16</t>
  </si>
  <si>
    <t>Justiça Federal de Primeiro Grau</t>
  </si>
  <si>
    <t>35.989.509/0001-93</t>
  </si>
  <si>
    <t>SERVENTIA EXTRAJUDICIAL DO OFICIO UNICO DE DEMERVAL LOBAO</t>
  </si>
  <si>
    <t>Secretaria da Fazenda do Estado de São Paulo</t>
  </si>
  <si>
    <t>45.565.413/0001-51</t>
  </si>
  <si>
    <t>68.596.162/0001-78</t>
  </si>
  <si>
    <t>Iap - Instituto Ambiental do Paraná</t>
  </si>
  <si>
    <t>00.016.296/6481-20</t>
  </si>
  <si>
    <t>Antonio Tuim de Almeida - 1º Serviço de Notas e Registros de Tangará da Serra</t>
  </si>
  <si>
    <t>04.898.488/0001-77</t>
  </si>
  <si>
    <t>ANTT  AGENCIA NACIONAL DE TRANSPO</t>
  </si>
  <si>
    <t>05.703.759/0001-54</t>
  </si>
  <si>
    <t>1 OFICIAL DE REGISTRO DE IMOVEIS DA</t>
  </si>
  <si>
    <t>43.297.514/0001-63</t>
  </si>
  <si>
    <t>1 OFICIAL DE REGISTRO DE IMOVEIS TI</t>
  </si>
  <si>
    <t>49.634.363/0001-78</t>
  </si>
  <si>
    <t>50.460.799/0001-77</t>
  </si>
  <si>
    <t>50.828.540/0001-36</t>
  </si>
  <si>
    <t>51.241.263/0001-23</t>
  </si>
  <si>
    <t>51.260.743/0001-31</t>
  </si>
  <si>
    <t>51.327.575/0001-54</t>
  </si>
  <si>
    <t>51.373.728/0001-08</t>
  </si>
  <si>
    <t>43.349.000/0001-04</t>
  </si>
  <si>
    <t>1 OFICIAL DE REGISTRO DE MOVEIS</t>
  </si>
  <si>
    <t>05.653.207/0001-89</t>
  </si>
  <si>
    <t>1 OFICIAL DE REGISTRO DE TITULOS E</t>
  </si>
  <si>
    <t>11.789.255/0001-00</t>
  </si>
  <si>
    <t>1 OFICIO DO REGISTRO DE IMOVEIS</t>
  </si>
  <si>
    <t>51.052.215/0001-97</t>
  </si>
  <si>
    <t>1 REGISTRO DE IMOVEIS DE RIO CLARO</t>
  </si>
  <si>
    <t>51.880.763/0001-05</t>
  </si>
  <si>
    <t>1 REGISTRO DE IMOVEIS E A.DE</t>
  </si>
  <si>
    <t>11.235.126/0001-61</t>
  </si>
  <si>
    <t>1 REGISTRO DE IMOVEIS E ANEXOS</t>
  </si>
  <si>
    <t>12.517.173/0001-60</t>
  </si>
  <si>
    <t>1 REGISTRO DE IMOVEIS E HIPOTECAS D</t>
  </si>
  <si>
    <t>78.675.329/0001-40</t>
  </si>
  <si>
    <t>1 SERVICO DE REGISTRO CIVIL DAS PES</t>
  </si>
  <si>
    <t>78.118.593/0001-82</t>
  </si>
  <si>
    <t>1 SERVICO DE REGISTRO DE IMOVEIS</t>
  </si>
  <si>
    <t>75.229.351/0001-78</t>
  </si>
  <si>
    <t>1 SERVICO DE REGISTRO DE IMOVEIS DO</t>
  </si>
  <si>
    <t>05.863.213/0001-60</t>
  </si>
  <si>
    <t>1 SERVICO DE REGISTRO DE IMOVEIS E</t>
  </si>
  <si>
    <t>51.454.064/0001-01</t>
  </si>
  <si>
    <t>1 TABELIAO DE NOTAS DE REGISTRO DE</t>
  </si>
  <si>
    <t>15.372.196/0001-12</t>
  </si>
  <si>
    <t>1 TABELIONATO E REGISTRO DE IMOVEIS</t>
  </si>
  <si>
    <t>51.508.851/0001-80</t>
  </si>
  <si>
    <t>1° OFICIAL DE REGISTRO DE IMOVEIS</t>
  </si>
  <si>
    <t>45.565.710/0001-05</t>
  </si>
  <si>
    <t>10 OFICIAL DE REGISTRO DE IMOVEIS</t>
  </si>
  <si>
    <t>30.714.950/0001-49</t>
  </si>
  <si>
    <t>10 REGISTRO GERAL DE IMOVEIS DO RIO</t>
  </si>
  <si>
    <t>45.566.486/0001-68</t>
  </si>
  <si>
    <t>11 OFICIAL DE REGISTRO DE IMOVEIS</t>
  </si>
  <si>
    <t>45.576.774/0001-01</t>
  </si>
  <si>
    <t>12 OFICIO DE REGISTRO DE IMOVEIS DA</t>
  </si>
  <si>
    <t>23.335.660/0001-29</t>
  </si>
  <si>
    <t>12 REGISTRO DE IMOVEIS DO RIO DE JA</t>
  </si>
  <si>
    <t>45.572.393/0001-46</t>
  </si>
  <si>
    <t>13 OFICIAL DE REGISTRO DE IMOVEIS D</t>
  </si>
  <si>
    <t>14 OFICIAL DE REGISTRO DE IMOVEIS D</t>
  </si>
  <si>
    <t>45.576.758/0001-00</t>
  </si>
  <si>
    <t>16 OFICIAL DE REGISTRO DE IMOVEIS D</t>
  </si>
  <si>
    <t>45.572.682/0001-45</t>
  </si>
  <si>
    <t>17 OFICIO DE REGISTRO DE IMOVEIS</t>
  </si>
  <si>
    <t>45.576.733/0001-07</t>
  </si>
  <si>
    <t>18 REGISTRO DE IMOVEIS</t>
  </si>
  <si>
    <t>05.898.224/0001-86</t>
  </si>
  <si>
    <t>1º OFICIAL DE REGISTRO DE IMOVEIS</t>
  </si>
  <si>
    <t>75.268.888/0001-47</t>
  </si>
  <si>
    <t>1º OFICIO DE REGISTRO DE TITULOS E</t>
  </si>
  <si>
    <t>15.031.891/0001-10</t>
  </si>
  <si>
    <t>1º TABELIONATO E REGISTRO DE IMOVEI</t>
  </si>
  <si>
    <t>46.227.989/0001-71</t>
  </si>
  <si>
    <t>2 OFICIAL DE REGISTRO DE IMOVEIS</t>
  </si>
  <si>
    <t>05.668.377/0001-37</t>
  </si>
  <si>
    <t>2 OFICIAL DE REGISTRO DE IMOVEIS TI</t>
  </si>
  <si>
    <t>05.689.774/0001-95</t>
  </si>
  <si>
    <t>43.297.464/0001-14</t>
  </si>
  <si>
    <t>50.150.309/0001-36</t>
  </si>
  <si>
    <t>51.241.396/0001-08</t>
  </si>
  <si>
    <t>83.545.764/0001-90</t>
  </si>
  <si>
    <t>2 OFICIO DE REGISTRO DE IMOVEIS</t>
  </si>
  <si>
    <t>10.509.667/0001-78</t>
  </si>
  <si>
    <t>2 OFICIO DE REGISTRO DE IMOVEIS DE</t>
  </si>
  <si>
    <t>21.855.689/0001-06</t>
  </si>
  <si>
    <t>81.266.256/0001-47</t>
  </si>
  <si>
    <t>04.479.788/0001-11</t>
  </si>
  <si>
    <t>2 OFICIO DE REGISTRO DE IMOVEIS E</t>
  </si>
  <si>
    <t>83.852.509/0001-90</t>
  </si>
  <si>
    <t>2 OFICIO DO REGISTRO DE IMOVEIS DE</t>
  </si>
  <si>
    <t>51.048.122/0001-99</t>
  </si>
  <si>
    <t>2 REGISTRO DE IMOVEIS DE RIO CLARO</t>
  </si>
  <si>
    <t>11.573.771/0001-94</t>
  </si>
  <si>
    <t>2 SERVIÇO DE REGISTRO DE IMOVEIS DO</t>
  </si>
  <si>
    <t>00.837.990/0001-17</t>
  </si>
  <si>
    <t>2º CARTÓRIO DE REGISTRO DE TITULOS</t>
  </si>
  <si>
    <t>50.732.627/0001-05</t>
  </si>
  <si>
    <t>2º OFICIAL DE REGISTRO DE IMOVEIS</t>
  </si>
  <si>
    <t>51.800.852/0001-02</t>
  </si>
  <si>
    <t>2º OFICIAL DE REGISTRO DE IMOVEIS D</t>
  </si>
  <si>
    <t>05.726.337/0001-02</t>
  </si>
  <si>
    <t>2º OFICIAL DE REGISTRO DE TITULOS E</t>
  </si>
  <si>
    <t>02.829.913/0001-40</t>
  </si>
  <si>
    <t>2º OFICIO DE REGISTRO DE IMOVEIS</t>
  </si>
  <si>
    <t>04.137.253/0001-62</t>
  </si>
  <si>
    <t>2º OFICIO DE REGISTRO DE TITULOS E</t>
  </si>
  <si>
    <t>45.565.256/0001-84</t>
  </si>
  <si>
    <t>3 OFICIAL DE REGISTRO DE IMOVEIS</t>
  </si>
  <si>
    <t>04.321.048/0001-52</t>
  </si>
  <si>
    <t>3 OFICIO DE REGISTRO DE IMOVEIS E</t>
  </si>
  <si>
    <t>21.856.018/0001-60</t>
  </si>
  <si>
    <t>3º OFÍCIO DE REGISTRO DE IMÓVEIS</t>
  </si>
  <si>
    <t>75.669.952/0001-00</t>
  </si>
  <si>
    <t>3º SERVICO DE REGISTRO DE TITULOS E</t>
  </si>
  <si>
    <t>05.676.112/0001-80</t>
  </si>
  <si>
    <t>4 OFICIAL DE REGISTRO DE IMOVEIS DE</t>
  </si>
  <si>
    <t>30.715.007/0001-50</t>
  </si>
  <si>
    <t>4 OFICIO DE REGISTRO DE IMOVEIS</t>
  </si>
  <si>
    <t>20.832.843/0001-61</t>
  </si>
  <si>
    <t>4 REGISTRO DE IMOVEIS DE GOIANIA</t>
  </si>
  <si>
    <t>45.564.879/0001-32</t>
  </si>
  <si>
    <t>4 SERVICO DE REGISTRO DE IMOVEIS DA</t>
  </si>
  <si>
    <t>00.204.749/0001-50</t>
  </si>
  <si>
    <t>5 OFICIO DE REGISTRO DE IMOVEIS</t>
  </si>
  <si>
    <t>07.577.947/0001-09</t>
  </si>
  <si>
    <t>00.587.117/0001-13</t>
  </si>
  <si>
    <t>5 OFICIO DO REGISTRO DE DISTRIBUICA</t>
  </si>
  <si>
    <t>45.564.937/0001-28</t>
  </si>
  <si>
    <t>6 OFICIAL DE REGISTRO DE IMOVEIS</t>
  </si>
  <si>
    <t>07.928.440/0001-52</t>
  </si>
  <si>
    <t>6 OFICIO DE REGISTRO DE IMOVEIS</t>
  </si>
  <si>
    <t>15.037.419/0001-95</t>
  </si>
  <si>
    <t>6º SERVICO NOTARIAL REGISTRO DE IMO</t>
  </si>
  <si>
    <t>45.585.700/0001-23</t>
  </si>
  <si>
    <t>7 OFICIAL DE REGISTRO DE IMOVEIS</t>
  </si>
  <si>
    <t>45.705.514/0001-80</t>
  </si>
  <si>
    <t>9 OFICIAL DE REGISTRO DE IMOVEIS DA</t>
  </si>
  <si>
    <t>27.586.239/0001-41</t>
  </si>
  <si>
    <t>9º OFICIO DO REGISTRO DE DISTRIBUIC</t>
  </si>
  <si>
    <t>87.382.271/0001-37</t>
  </si>
  <si>
    <t>ALVORADA OFICIO DOS REGISTROS PUBLI</t>
  </si>
  <si>
    <t>06.261.684/0001-61</t>
  </si>
  <si>
    <t>ASCURRA OFICIO DO REGISTRO DE IMOVE</t>
  </si>
  <si>
    <t>01.969.670/0001-83</t>
  </si>
  <si>
    <t>ASSOCIACAO DOS REGISTROS DE TITULOS</t>
  </si>
  <si>
    <t>02.819.644/0001-31</t>
  </si>
  <si>
    <t>AUTO POSTO MONTANA DE REGISTRO LTDA</t>
  </si>
  <si>
    <t>54.052.204/0001-03</t>
  </si>
  <si>
    <t>AUTO POSTO OURO VERDE DE REGISTROLT</t>
  </si>
  <si>
    <t>55.851.356/0001-20</t>
  </si>
  <si>
    <t>AUTO POSTO REGISTRO LTDA</t>
  </si>
  <si>
    <t>90.897.174/0001-91</t>
  </si>
  <si>
    <t>CHAPADA OFICIO DO REGISTRO DE IMOVE</t>
  </si>
  <si>
    <t>81.163.040/0001-56</t>
  </si>
  <si>
    <t>COLEGIO DO REGISTRO DE IMOVEIS DO</t>
  </si>
  <si>
    <t>75.268.789/0001-65</t>
  </si>
  <si>
    <t>COLOMBO REGISTRO DE IMOVEIS DA</t>
  </si>
  <si>
    <t>92.505.833/0001-22</t>
  </si>
  <si>
    <t>CROVAL CONEXOES REGISTROS E</t>
  </si>
  <si>
    <t>78.743.572/0001-58</t>
  </si>
  <si>
    <t>CURITIBA 4 OFICIO DE REGISTRO DE TI</t>
  </si>
  <si>
    <t>75.214.239/0001-63</t>
  </si>
  <si>
    <t>CURITIBA 8 OFICIO DO REGISTRO DE IM</t>
  </si>
  <si>
    <t>75.214.528/0001-62</t>
  </si>
  <si>
    <t>CURITIBA REGISTRO DE TITULOS E DOCU</t>
  </si>
  <si>
    <t>02.890.374/0001-55</t>
  </si>
  <si>
    <t>GOIANIA REGISTRO DE IMOVEIS DE 1ª</t>
  </si>
  <si>
    <t>90.934.142/0001-19</t>
  </si>
  <si>
    <t>GRAMADO REGISTROS PUBLICOS</t>
  </si>
  <si>
    <t>83.545.491/0001-83</t>
  </si>
  <si>
    <t>GUARAMIRIM OFICIO DO REGISTRO DE IM</t>
  </si>
  <si>
    <t>29.555.328/0001-56</t>
  </si>
  <si>
    <t>INSTITUTO DE REGISTRO IMOBILIARIO D</t>
  </si>
  <si>
    <t>49.895.386/0001-36</t>
  </si>
  <si>
    <t>JAU SEGUNDO CIRCUNSCRICAO REGISTRO</t>
  </si>
  <si>
    <t>90.811.779/0001-18</t>
  </si>
  <si>
    <t>JOAO CESAR OFICIAL DO REGISTRO DE</t>
  </si>
  <si>
    <t>11.859.354/0001-02</t>
  </si>
  <si>
    <t>OFICIAL DE REGISTRO CIVIL DAS PESSO</t>
  </si>
  <si>
    <t>51.880.862/0001-97</t>
  </si>
  <si>
    <t>OFICIAL DE REGISTRO CIVIL E NOTAS D</t>
  </si>
  <si>
    <t>51.308.401/0001-44</t>
  </si>
  <si>
    <t>OFICIAL DE REGISTRO CIVIL E TABELIA</t>
  </si>
  <si>
    <t>52.387.867/0001-45</t>
  </si>
  <si>
    <t>50.365.014/0001-87</t>
  </si>
  <si>
    <t>OFICIAL DE REGISTRO DE</t>
  </si>
  <si>
    <t>11.595.649/0001-19</t>
  </si>
  <si>
    <t>OFICIAL DE REGISTRO DE IMOVEIS</t>
  </si>
  <si>
    <t>50.792.621/0001-23</t>
  </si>
  <si>
    <t>51.669.620/0001-59</t>
  </si>
  <si>
    <t>51.854.388/0001-29</t>
  </si>
  <si>
    <t>OFICIAL DE REGISTRO DE IMOVEIS DA C</t>
  </si>
  <si>
    <t>50.443.233/0001-37</t>
  </si>
  <si>
    <t>OFICIAL DE REGISTRO DE IMOVEIS DE</t>
  </si>
  <si>
    <t>49.883.580/0001-00</t>
  </si>
  <si>
    <t>OFICIAL DE REGISTRO DE IMOVEIS DOIS</t>
  </si>
  <si>
    <t>11.236.613/0001-49</t>
  </si>
  <si>
    <t>OFICIAL DE REGISTRO DE IMOVEIS E AN</t>
  </si>
  <si>
    <t>18.386.393/0001-89</t>
  </si>
  <si>
    <t>50.077.445/0001-48</t>
  </si>
  <si>
    <t>51.794.287/0001-00</t>
  </si>
  <si>
    <t>51.800.969/0001-88</t>
  </si>
  <si>
    <t>51.804.110/0001-47</t>
  </si>
  <si>
    <t>51.842.367/0001-93</t>
  </si>
  <si>
    <t>51.316.156/0001-17</t>
  </si>
  <si>
    <t>OFICIAL DE REGISTRO DE IMOVEIS REGI</t>
  </si>
  <si>
    <t>07.274.762/0001-25</t>
  </si>
  <si>
    <t>OFICIAL DE REGISTRO DE IMOVEIS TITU</t>
  </si>
  <si>
    <t>43.353.630/0001-52</t>
  </si>
  <si>
    <t>48.408.520/0001-64</t>
  </si>
  <si>
    <t>49.063.738/0001-97</t>
  </si>
  <si>
    <t>49.626.799/0001-15</t>
  </si>
  <si>
    <t>49.898.703/0001-78</t>
  </si>
  <si>
    <t>50.073.667/0001-92</t>
  </si>
  <si>
    <t>50.075.209/0001-92</t>
  </si>
  <si>
    <t>50.325.612/0001-22</t>
  </si>
  <si>
    <t>50.445.477/0001-59</t>
  </si>
  <si>
    <t>50.513.134/0001-84</t>
  </si>
  <si>
    <t>50.782.614/0001-40</t>
  </si>
  <si>
    <t>50.798.198/0001-79</t>
  </si>
  <si>
    <t>50.800.069/0001-78</t>
  </si>
  <si>
    <t>51.055.408/0001-00</t>
  </si>
  <si>
    <t>51.056.695/0001-64</t>
  </si>
  <si>
    <t>51.080.695/0001-08</t>
  </si>
  <si>
    <t>51.096.402/0001-72</t>
  </si>
  <si>
    <t>51.252.583/0001-89</t>
  </si>
  <si>
    <t>51.254.845/0001-44</t>
  </si>
  <si>
    <t>51.325.058/0001-46</t>
  </si>
  <si>
    <t>51.388.478/0001-71</t>
  </si>
  <si>
    <t>51.391.621/0001-84</t>
  </si>
  <si>
    <t>51.410.900/0001-48</t>
  </si>
  <si>
    <t>51.411.338/0001-77</t>
  </si>
  <si>
    <t>51.672.335/0001-97</t>
  </si>
  <si>
    <t>51.672.483/0001-01</t>
  </si>
  <si>
    <t>51.791.416/0001-06</t>
  </si>
  <si>
    <t>51.797.082/0001-88</t>
  </si>
  <si>
    <t>51.875.789/0001-65</t>
  </si>
  <si>
    <t>51.880.847/0001-49</t>
  </si>
  <si>
    <t>50.800.150/0001-58</t>
  </si>
  <si>
    <t>OFICIAL DE REGISTRO LETRAS E TITULO</t>
  </si>
  <si>
    <t>05.142.211/0001-82</t>
  </si>
  <si>
    <t>OFICIO DE NOTAS E REGISTRO DE CONTR</t>
  </si>
  <si>
    <t>27.194.133/0001-00</t>
  </si>
  <si>
    <t>OFICIO DE NOTAS E REGISTROS DE</t>
  </si>
  <si>
    <t>02.890.358/0001-62</t>
  </si>
  <si>
    <t>OFICIO DE REGISTRO CIVIL E TAB.</t>
  </si>
  <si>
    <t>04.234.225/0001-63</t>
  </si>
  <si>
    <t>OFICIO DE REGISTRO DE IMOVEIS DA CO</t>
  </si>
  <si>
    <t>00.829.600/0001-67</t>
  </si>
  <si>
    <t>OFICIO DE REGISTRO DE IMOVEIS DE CA</t>
  </si>
  <si>
    <t>07.164.949/0001-76</t>
  </si>
  <si>
    <t>OFICIO DE REGISTRO DE IMOVEIS E CIV</t>
  </si>
  <si>
    <t>88.373.048/0001-96</t>
  </si>
  <si>
    <t>OFICIO DOS REGISTROS PUBLICOS</t>
  </si>
  <si>
    <t>90.773.631/0001-36</t>
  </si>
  <si>
    <t>OFICIO DOS REGISTROS PUBLICOS DE</t>
  </si>
  <si>
    <t>01.695.306/0001-72</t>
  </si>
  <si>
    <t>OFICIO PRIVATIVO DE REGISTRO DE IMO</t>
  </si>
  <si>
    <t>45.564.853/0001-94</t>
  </si>
  <si>
    <t>OITAVO OFICIAL DE REGISTRO DE IMOVE</t>
  </si>
  <si>
    <t>90.897.141/0001-41</t>
  </si>
  <si>
    <t>PALM DAS MISSOES OFICIO DO REGISTRO</t>
  </si>
  <si>
    <t>83.824.888/0001-04</t>
  </si>
  <si>
    <t>PICARRAS REGISTRO DE IMOVEIS</t>
  </si>
  <si>
    <t>90.899.287/0001-26</t>
  </si>
  <si>
    <t>PLANALTO OFICIO DOS REGISTROS PUBLI</t>
  </si>
  <si>
    <t>93.902.591/0001-73</t>
  </si>
  <si>
    <t>PORTO ALEGRE OFICIO DE REGISTRO DE</t>
  </si>
  <si>
    <t>55.856.694/0001-55</t>
  </si>
  <si>
    <t>POSTO ALVORADA DE REGISTRO LTDA</t>
  </si>
  <si>
    <t>45.685.872/0001-79</t>
  </si>
  <si>
    <t>PREFEITURA MUNICIPAL DE REGISTRO</t>
  </si>
  <si>
    <t>45.565.678/0001-50</t>
  </si>
  <si>
    <t>PRIMEIRO OFICIAL DE REGISTRO DE IMO</t>
  </si>
  <si>
    <t>49.895.394/0001-82</t>
  </si>
  <si>
    <t>51.801.264/0001-85</t>
  </si>
  <si>
    <t>15.452.170/0001-84</t>
  </si>
  <si>
    <t>PRIMEIRO OFICIO DE REGISTRO DE IMOV</t>
  </si>
  <si>
    <t>83.549.550/0001-91</t>
  </si>
  <si>
    <t>21.469.593/0001-00</t>
  </si>
  <si>
    <t>PRIMEIRO REGISTRO DE PESSOAS JURIDI</t>
  </si>
  <si>
    <t>27.908.151/0001-07</t>
  </si>
  <si>
    <t>REGISTRO BRASILEIRO DE NAVIOS</t>
  </si>
  <si>
    <t>06.007.537/0001-60</t>
  </si>
  <si>
    <t>REGISTRO CIVIL DAS PESSOAS</t>
  </si>
  <si>
    <t>20.631.050/0001-84</t>
  </si>
  <si>
    <t>REGISTRO CIVIL DAS PESSOAS NATURAIS</t>
  </si>
  <si>
    <t>08.819.588/0001-11</t>
  </si>
  <si>
    <t>REGISTRO CIVIS DE PESSOAS JURIDICAS</t>
  </si>
  <si>
    <t>15.633.691/0001-38</t>
  </si>
  <si>
    <t>REGISTRO DA COMARCA DE RIBEIRAO</t>
  </si>
  <si>
    <t>11.690.641/0001-31</t>
  </si>
  <si>
    <t>REGISTRO DE IMOVEIS 1 OFICIO</t>
  </si>
  <si>
    <t>06.573.554/0001-64</t>
  </si>
  <si>
    <t>REGISTRO DE IMOVEIS DA 1 ZONA</t>
  </si>
  <si>
    <t>08.568.946/0001-60</t>
  </si>
  <si>
    <t>REGISTRO DE IMOVEIS DA 2 ZONA DE PO</t>
  </si>
  <si>
    <t>08.687.990/0001-90</t>
  </si>
  <si>
    <t>REGISTRO DE IMOVEIS DA 3 ZONA DE PO</t>
  </si>
  <si>
    <t>02.890.465/0001-90</t>
  </si>
  <si>
    <t>REGISTRO DE IMOVEIS DA 4 CIRCUNSCRI</t>
  </si>
  <si>
    <t>89.648.836/0001-00</t>
  </si>
  <si>
    <t>REGISTRO DE IMOVEIS DE IJUI</t>
  </si>
  <si>
    <t>20.415.296/0001-19</t>
  </si>
  <si>
    <t>REGISTRO DE IMOVEIS DE TITULOS E</t>
  </si>
  <si>
    <t>30.715.734/0001-18</t>
  </si>
  <si>
    <t>REGISTRO DE IMOVEIS DO 7 OFICIO</t>
  </si>
  <si>
    <t>05.911.003/0001-09</t>
  </si>
  <si>
    <t>REGISTRO DE IMOVEIS E ANEXOS</t>
  </si>
  <si>
    <t>51.311.850/0001-41</t>
  </si>
  <si>
    <t>17.695.609/0001-25</t>
  </si>
  <si>
    <t>REGISTRO DE IMOVEIS E HIPOTECAS TIT</t>
  </si>
  <si>
    <t>02.751.444/0001-94</t>
  </si>
  <si>
    <t>REGISTRO DE IMOVEIS TABELIONATO</t>
  </si>
  <si>
    <t>51.283.471/0001-95</t>
  </si>
  <si>
    <t>REGISTRO DE IMOVEIS TIT E DOCUMENTO</t>
  </si>
  <si>
    <t>06.148.534/0001-46</t>
  </si>
  <si>
    <t>REGISTRO DE IMOVEIS TITULOS E DOCUM</t>
  </si>
  <si>
    <t>50.510.734/0001-99</t>
  </si>
  <si>
    <t>51.305.985/0001-02</t>
  </si>
  <si>
    <t>20.924.478/0001-15</t>
  </si>
  <si>
    <t>REGISTRO DE PROTESTOS DE TITULOS DA</t>
  </si>
  <si>
    <t>05.681.976/0001-90</t>
  </si>
  <si>
    <t>REGISTRO DE TITULOS E DOCUMENTOS E</t>
  </si>
  <si>
    <t>35.531.425/0001-01</t>
  </si>
  <si>
    <t>REGISTRO GERAL DE IMOVEIS DE TITULO</t>
  </si>
  <si>
    <t>41.089.905/0001-67</t>
  </si>
  <si>
    <t>REGISTRO GERAL DE IMOVEL PROTESTOS</t>
  </si>
  <si>
    <t>06.150.526/0001-34</t>
  </si>
  <si>
    <t>REGISTRO IMOVEIS E DOCUMENTOS</t>
  </si>
  <si>
    <t>27.079.821/0001-11</t>
  </si>
  <si>
    <t>RIO DE JANEIRO REGISTRO CIVIL DAS</t>
  </si>
  <si>
    <t>90.894.429/0001-62</t>
  </si>
  <si>
    <t>RONDA ALTA OFICIO DOS REGISTROS</t>
  </si>
  <si>
    <t>90.824.129/0001-07</t>
  </si>
  <si>
    <t>SANTA BARBARA DO SUL REGISTRO PUBLI</t>
  </si>
  <si>
    <t>89.922.751/0001-79</t>
  </si>
  <si>
    <t>SANTA VITORIA DO PALMAR REGISTRO DE</t>
  </si>
  <si>
    <t>89.814.917/0001-33</t>
  </si>
  <si>
    <t>SAO LEOPOLDO OFICIO DE REGISTRO DE</t>
  </si>
  <si>
    <t>51.327.765/0001-71</t>
  </si>
  <si>
    <t>SEG OFICIAL DE REGISTRO DE IMOVEIS</t>
  </si>
  <si>
    <t>23.416.184/0001-70</t>
  </si>
  <si>
    <t>SEGUNDO OFICIO DE NOTAS REGISTRO CI</t>
  </si>
  <si>
    <t>10.216.216/0001-42</t>
  </si>
  <si>
    <t>SEGUNDO OFICIO DO REGISTRO CIVIL E</t>
  </si>
  <si>
    <t>27.128.867/0001-83</t>
  </si>
  <si>
    <t>SEGUNDO OFICIO DO REGISTRO DE PROTE</t>
  </si>
  <si>
    <t>28.962.226/0001-92</t>
  </si>
  <si>
    <t>SEGUNDO REGISTRO DE IMOVEIS DE RECI</t>
  </si>
  <si>
    <t>90.601.568/0001-50</t>
  </si>
  <si>
    <t>SERV. NOTARIAL E DE REGISTROS</t>
  </si>
  <si>
    <t>15.011.228/0001-54</t>
  </si>
  <si>
    <t>SERVICO DE REGISTRO DE IMOVEIS DA</t>
  </si>
  <si>
    <t>23.505.695/0001-69</t>
  </si>
  <si>
    <t>15.389.554/0001-08</t>
  </si>
  <si>
    <t>SERVICO DE REGISTRO DE IMOVEIS DE</t>
  </si>
  <si>
    <t>05.471.278/0001-60</t>
  </si>
  <si>
    <t>SERVICO DE REGISTRO DE IMOVEIS DE B</t>
  </si>
  <si>
    <t>02.884.005/0001-50</t>
  </si>
  <si>
    <t>SERVICO DE REGISTRO DE IMOVEIS DE G</t>
  </si>
  <si>
    <t>49.879.695/0001-12</t>
  </si>
  <si>
    <t>SERVICO DE REGISTRO DE IMOVEIS E AN</t>
  </si>
  <si>
    <t>05.425.196/0001-80</t>
  </si>
  <si>
    <t>SERVICO DE REGISTRO DE IMOVEL DE TI</t>
  </si>
  <si>
    <t>04.914.820/0001-40</t>
  </si>
  <si>
    <t>SERVICO DE REGISTROS PUBLICOS</t>
  </si>
  <si>
    <t>05.494.904/0001-34</t>
  </si>
  <si>
    <t>SERVICO DO 2 OFICIO DE REGISTROS DE</t>
  </si>
  <si>
    <t>51.088.854/0001-02</t>
  </si>
  <si>
    <t>SERVICO DO REGISTRO DE IMOVEIS E</t>
  </si>
  <si>
    <t>00.964.635/0001-09</t>
  </si>
  <si>
    <t>SERVICO NOTARIAL E DE REGISTROS</t>
  </si>
  <si>
    <t>00.200.404/0001-29</t>
  </si>
  <si>
    <t>SEXTO OFICIO DO REGISTRO DE IMOVEIS</t>
  </si>
  <si>
    <t>10.734.445/0001-59</t>
  </si>
  <si>
    <t>SEXTO SERVICO DE REGISTRO DE IMOVEI</t>
  </si>
  <si>
    <t>83.833.236/0001-36</t>
  </si>
  <si>
    <t>TABELIONATO REGISTRO DE IMOVEIS</t>
  </si>
  <si>
    <t>06.573.513/0001-78</t>
  </si>
  <si>
    <t>TERCEIRO OFICIO DE REGISTRO DE IMOV</t>
  </si>
  <si>
    <t>90.800.004/0001-47</t>
  </si>
  <si>
    <t>TORRES REGISTRO DE IMOVEIS E PROTES</t>
  </si>
  <si>
    <t>90.937.178/0001-56</t>
  </si>
  <si>
    <t>TRAMANDAI REGISTRO DE IMOVEIS</t>
  </si>
  <si>
    <t>04.345.017/0001-31</t>
  </si>
  <si>
    <t>VARA DE REGISTROS PUBLICOS E ACIDEN</t>
  </si>
  <si>
    <t>89.522.064/0001-66</t>
  </si>
  <si>
    <t>TJ RIO GRANDE DO SUL</t>
  </si>
  <si>
    <t>Fornecedor (Cod)</t>
  </si>
  <si>
    <t>Referencia</t>
  </si>
  <si>
    <t xml:space="preserve"> Valor </t>
  </si>
  <si>
    <t>Vencimento</t>
  </si>
  <si>
    <t>FORMA PGTO</t>
  </si>
  <si>
    <t>Beneficiario(codigo)</t>
  </si>
  <si>
    <t>Conta Razão</t>
  </si>
  <si>
    <t>Atribuicao</t>
  </si>
  <si>
    <t>Texto</t>
  </si>
  <si>
    <t>Ccustos</t>
  </si>
  <si>
    <t>C Lucro</t>
  </si>
  <si>
    <t>Ordem</t>
  </si>
  <si>
    <t>nº Sap</t>
  </si>
  <si>
    <t>Linha digitavel</t>
  </si>
  <si>
    <t>DESCRIÇÃO</t>
  </si>
  <si>
    <t>É guia de Arrecadação</t>
  </si>
  <si>
    <t>Enviado para aprovação?</t>
  </si>
  <si>
    <t>Lçto efetuado?</t>
  </si>
  <si>
    <t>Assoc. realizada?</t>
  </si>
  <si>
    <t>Colunas de check</t>
  </si>
  <si>
    <t>Beneficiario</t>
  </si>
  <si>
    <t>Data de Vencimento2</t>
  </si>
  <si>
    <t>Valor2</t>
  </si>
  <si>
    <t>centavos</t>
  </si>
  <si>
    <t>valor total</t>
  </si>
  <si>
    <t>data base boleto</t>
  </si>
  <si>
    <t>COFIGURAÇÕES DO BOLETO</t>
  </si>
  <si>
    <t>COD SUBTIPO</t>
  </si>
  <si>
    <t>COD NAT</t>
  </si>
  <si>
    <t>Cod categ-cont</t>
  </si>
  <si>
    <t>codigo geral</t>
  </si>
  <si>
    <t>codigo</t>
  </si>
  <si>
    <t>CRAZAO</t>
  </si>
  <si>
    <t>c.custo</t>
  </si>
  <si>
    <t>c.lucro</t>
  </si>
  <si>
    <t>nome</t>
  </si>
  <si>
    <t>DPE0000000</t>
  </si>
  <si>
    <t>custas/civel/</t>
  </si>
  <si>
    <t>custas/civel/certidao</t>
  </si>
  <si>
    <t>VERIFICAR</t>
  </si>
  <si>
    <t>custas/civel/alug</t>
  </si>
  <si>
    <t>custas/civel/contribuicao</t>
  </si>
  <si>
    <t>custas trab/</t>
  </si>
  <si>
    <t>custas/ trab/certidao</t>
  </si>
  <si>
    <t>custas/ trab/alug</t>
  </si>
  <si>
    <t>custas /trib/</t>
  </si>
  <si>
    <t>custas /trib/certridao</t>
  </si>
  <si>
    <t>custas /trib/alug</t>
  </si>
  <si>
    <t>custas/amb/</t>
  </si>
  <si>
    <t>custas/amb/certidao</t>
  </si>
  <si>
    <t>custas/amb/alug</t>
  </si>
  <si>
    <t>custas /crim/</t>
  </si>
  <si>
    <t>custas /crim/certidao</t>
  </si>
  <si>
    <t>custas /crim/alug</t>
  </si>
  <si>
    <t>custas /reg/</t>
  </si>
  <si>
    <t>custas /reg/certidao</t>
  </si>
  <si>
    <t>custas /reg/alug</t>
  </si>
  <si>
    <t>cond. Civel</t>
  </si>
  <si>
    <t>cond trab</t>
  </si>
  <si>
    <t>cond trib</t>
  </si>
  <si>
    <t>cond amb</t>
  </si>
  <si>
    <t>cond crim</t>
  </si>
  <si>
    <t>cond reg</t>
  </si>
  <si>
    <t>dep civel</t>
  </si>
  <si>
    <t>dep trab</t>
  </si>
  <si>
    <t>dep trib</t>
  </si>
  <si>
    <t>dep amb</t>
  </si>
  <si>
    <t>dep crim</t>
  </si>
  <si>
    <t>rec reg</t>
  </si>
  <si>
    <t>rec trab</t>
  </si>
  <si>
    <t>rec trib</t>
  </si>
  <si>
    <t>rec amb</t>
  </si>
  <si>
    <t>acordo civel</t>
  </si>
  <si>
    <t>acordo trab</t>
  </si>
  <si>
    <t>acordo trib</t>
  </si>
  <si>
    <t>acordo amb</t>
  </si>
  <si>
    <t>acordo crim</t>
  </si>
  <si>
    <t>acordo reg</t>
  </si>
  <si>
    <t>hon sucumb civel</t>
  </si>
  <si>
    <t>hon sucumb trab</t>
  </si>
  <si>
    <t>hon sucumb trib</t>
  </si>
  <si>
    <t>hon sucumb amb</t>
  </si>
  <si>
    <t>hon sucumb crim</t>
  </si>
  <si>
    <t>hon sucumb reg</t>
  </si>
  <si>
    <t>pts</t>
  </si>
  <si>
    <t>Natureza</t>
  </si>
  <si>
    <t>CUSTAS</t>
  </si>
  <si>
    <t>CÍVEL</t>
  </si>
  <si>
    <t xml:space="preserve"> </t>
  </si>
  <si>
    <t>TRABALHISTA</t>
  </si>
  <si>
    <t>CERTIDÃO</t>
  </si>
  <si>
    <t>DEPÓSITO JUDICIAL</t>
  </si>
  <si>
    <t>TRIBUTÁRIO</t>
  </si>
  <si>
    <t>ALUGUEL</t>
  </si>
  <si>
    <t>DEPÓSITO RECURSAL</t>
  </si>
  <si>
    <t>AMBIENTAL</t>
  </si>
  <si>
    <t>ACORDO</t>
  </si>
  <si>
    <t>CRIMINAL</t>
  </si>
  <si>
    <t>REGULATÓRIO</t>
  </si>
  <si>
    <t>_111</t>
  </si>
  <si>
    <t>_112</t>
  </si>
  <si>
    <t>_113</t>
  </si>
  <si>
    <t>_114</t>
  </si>
  <si>
    <t>_121</t>
  </si>
  <si>
    <t>_122</t>
  </si>
  <si>
    <t>_123</t>
  </si>
  <si>
    <t>_131</t>
  </si>
  <si>
    <t>_132</t>
  </si>
  <si>
    <t>_133</t>
  </si>
  <si>
    <t>_141</t>
  </si>
  <si>
    <t>_142</t>
  </si>
  <si>
    <t>_143</t>
  </si>
  <si>
    <t>_151</t>
  </si>
  <si>
    <t>_152</t>
  </si>
  <si>
    <t>_153</t>
  </si>
  <si>
    <t>_161</t>
  </si>
  <si>
    <t>_162</t>
  </si>
  <si>
    <t>_163</t>
  </si>
  <si>
    <t>_211</t>
  </si>
  <si>
    <t>_221</t>
  </si>
  <si>
    <t>_231</t>
  </si>
  <si>
    <t>_241</t>
  </si>
  <si>
    <t>_251</t>
  </si>
  <si>
    <t>_261</t>
  </si>
  <si>
    <t>_311</t>
  </si>
  <si>
    <t>_321</t>
  </si>
  <si>
    <t>_331</t>
  </si>
  <si>
    <t>_341</t>
  </si>
  <si>
    <t>_351</t>
  </si>
  <si>
    <t>_361</t>
  </si>
  <si>
    <t>_421</t>
  </si>
  <si>
    <t>_431</t>
  </si>
  <si>
    <t>_441</t>
  </si>
  <si>
    <t>_511</t>
  </si>
  <si>
    <t>_521</t>
  </si>
  <si>
    <t>_531</t>
  </si>
  <si>
    <t>_541</t>
  </si>
  <si>
    <t>_551</t>
  </si>
  <si>
    <t>_561</t>
  </si>
  <si>
    <t>_611</t>
  </si>
  <si>
    <t>_621</t>
  </si>
  <si>
    <t>_631</t>
  </si>
  <si>
    <t>_641</t>
  </si>
  <si>
    <t>_651</t>
  </si>
  <si>
    <t>_661</t>
  </si>
  <si>
    <t>BANCO</t>
  </si>
  <si>
    <t>Descrição2</t>
  </si>
  <si>
    <t>07/10/1997</t>
  </si>
  <si>
    <t>TRIBUNAL DE JUSTICA DO ESTADO DA BAHIA</t>
  </si>
  <si>
    <t>TRIBUNAL DE JUSTICA DO ESTADO DE ALAGOAS</t>
  </si>
  <si>
    <t>TRIBUNAL DE JUSTICA DO ESTADO DE GOIAS</t>
  </si>
  <si>
    <t>TRIBUNAL DE JUSTICA DO ESTADO DE MINAS GERAIS</t>
  </si>
  <si>
    <t>TRIBUNAL DE JUSTICA DO ESTADO DO PARA</t>
  </si>
  <si>
    <t>TRIBUNAL DE JUSTICA DO ESTADO DO RIO DE JANEIRO</t>
  </si>
  <si>
    <t>TRIBUNAL REGIONAL DO TRABALHO 1 REGIAO</t>
  </si>
  <si>
    <t>TRIBUNAL REGIONAL DO TRABALHO 10 REGIAO</t>
  </si>
  <si>
    <t>TRIBUNAL REGIONAL DO TRABALHO 11 REGIAO</t>
  </si>
  <si>
    <t>TRIBUNAL REGIONAL DO TRABALHO 12 REGIAO</t>
  </si>
  <si>
    <t xml:space="preserve"> 02.658.544/0001-70</t>
  </si>
  <si>
    <t>TRIBUNAL REGIONAL DO TRABALHO 13 REGIAO</t>
  </si>
  <si>
    <t xml:space="preserve"> 03.326.815/0001-53</t>
  </si>
  <si>
    <t>TRIBUNAL REGIONAL DO TRABALHO 14 REGIAO</t>
  </si>
  <si>
    <t xml:space="preserve"> 03.773.524/0001-03</t>
  </si>
  <si>
    <t>TRIBUNAL REGIONAL DO TRABALHO 15 REGIAO</t>
  </si>
  <si>
    <t>TRIBUNAL REGIONAL DO TRABALHO 16 REGIAO</t>
  </si>
  <si>
    <t>TRIBUNAL REGIONAL DO TRABALHO 17 REGIAO</t>
  </si>
  <si>
    <t>TRIBUNAL REGIONAL DO TRABALHO 18 REGIAO</t>
  </si>
  <si>
    <t>TRIBUNAL REGIONAL DO TRABALHO 19 REGIAO</t>
  </si>
  <si>
    <t>TRIBUNAL REGIONAL DO TRABALHO 20 REGIAO</t>
  </si>
  <si>
    <t>TRIBUNAL REGIONAL DO TRABALHO 21 REGIAO</t>
  </si>
  <si>
    <t>TRIBUNAL REGIONAL DO TRABALHO 22 REGIAO</t>
  </si>
  <si>
    <t>TRIBUNAL REGIONAL DO TRABALHO 23 REGIAO</t>
  </si>
  <si>
    <t>TRIBUNAL REGIONAL DO TRABALHO 24 REGIAO</t>
  </si>
  <si>
    <t>TRIBUNAL REGIONAL DO TRABALHO 3 REGIAO</t>
  </si>
  <si>
    <t>TRIBUNAL REGIONAL DO TRABALHO 5 REGIAO</t>
  </si>
  <si>
    <t>TRIBUNAL REGIONAL DO TRABALHO 6 REGIAO</t>
  </si>
  <si>
    <t>TRIBUNAL REGIONAL DO TRABALHO 7 REGIAO</t>
  </si>
  <si>
    <t>TRIBUNAL REGIONAL DO TRABALHO 8 REGIAO</t>
  </si>
  <si>
    <t>TRIBUNAL REGIONAL DO TRABALHO 9 REGIAO</t>
  </si>
  <si>
    <t>FUNDO DA JUSTICA DO PODER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</si>
</sst>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(* #,##0.00_);_(* \(#,##0.00\);_(* &quot;-&quot;??_);_(@_)"/>
    <numFmt numFmtId="165" formatCode="##\”\.\”###\”\.\”###\”/\”####\-##"/>
    <numFmt numFmtId="167" formatCode="[$-F400]h:mm:ss\ AM/PM"/>
  </numFmts>
  <fonts count="14" x14ac:knownFonts="1"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name val="Calibri"/>
      <family val="2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name val="Calibri"/>
      <family val="2"/>
    </font>
    <font>
      <b/>
      <sz val="11"/>
      <color theme="9" tint="-0.249977111117893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none">
        <fgColor indexed="22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-0.499984740745262"/>
        <bgColor indexed="64"/>
      </patternFill>
    </fill>
  </fills>
  <borders count="3">
    <border>
      <left/>
      <right/>
      <top/>
      <bottom/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theme="9"/>
      </top>
      <bottom/>
      <diagonal/>
    </border>
  </borders>
  <cellStyleXfs count="6">
    <xf numFmtId="0" fontId="0" fillId="0" borderId="0"/>
    <xf numFmtId="44" fontId="5" fillId="0" borderId="0" applyFont="0" applyFill="0" applyBorder="0" applyAlignment="0" applyProtection="0"/>
    <xf numFmtId="164" fontId="3" fillId="3" borderId="0" applyFont="0" applyFill="0" applyBorder="0" applyAlignment="0" applyProtection="0"/>
    <xf numFmtId="0" fontId="5" fillId="3" borderId="0"/>
    <xf numFmtId="0" fontId="3" fillId="3" borderId="0"/>
    <xf numFmtId="43" fontId="5" fillId="0" borderId="0" applyFont="0" applyFill="0" applyBorder="0" applyAlignment="0" applyProtection="0"/>
  </cellStyleXfs>
  <cellXfs count="39">
    <xf numFmtId="0" fontId="0" fillId="0" borderId="0" xfId="0"/>
    <xf numFmtId="1" fontId="6" fillId="4" borderId="0" xfId="2" applyNumberFormat="1" applyFont="1" applyFill="1" applyBorder="1" applyAlignment="1">
      <alignment horizontal="left"/>
    </xf>
    <xf numFmtId="0" fontId="6" fillId="4" borderId="0" xfId="3" applyFont="1" applyFill="1" applyAlignment="1">
      <alignment horizontal="left" vertical="top"/>
    </xf>
    <xf numFmtId="0" fontId="6" fillId="4" borderId="0" xfId="3" applyFont="1" applyFill="1"/>
    <xf numFmtId="0" fontId="5" fillId="3" borderId="0" xfId="3"/>
    <xf numFmtId="0" fontId="7" fillId="5" borderId="0" xfId="4" applyFont="1" applyFill="1" applyAlignment="1">
      <alignment horizontal="left" vertical="center"/>
    </xf>
    <xf numFmtId="0" fontId="5" fillId="3" borderId="0" xfId="3" applyAlignment="1">
      <alignment horizontal="left" vertical="top"/>
    </xf>
    <xf numFmtId="0" fontId="8" fillId="5" borderId="0" xfId="4" applyFont="1" applyFill="1" applyAlignment="1">
      <alignment horizontal="left" vertical="center"/>
    </xf>
    <xf numFmtId="165" fontId="5" fillId="3" borderId="0" xfId="3" applyNumberFormat="1" applyAlignment="1">
      <alignment horizontal="left" vertical="top"/>
    </xf>
    <xf numFmtId="0" fontId="4" fillId="3" borderId="1" xfId="4" applyFont="1" applyBorder="1" applyAlignment="1">
      <alignment horizontal="left" vertical="top"/>
    </xf>
    <xf numFmtId="1" fontId="5" fillId="3" borderId="0" xfId="2" applyNumberFormat="1" applyFont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2" fontId="0" fillId="0" borderId="0" xfId="0" applyNumberFormat="1" applyFill="1" applyBorder="1"/>
    <xf numFmtId="0" fontId="10" fillId="2" borderId="0" xfId="0" applyFont="1" applyFill="1" applyBorder="1" applyAlignment="1">
      <alignment horizontal="left"/>
    </xf>
    <xf numFmtId="0" fontId="10" fillId="8" borderId="0" xfId="0" applyFont="1" applyFill="1" applyBorder="1" applyAlignment="1">
      <alignment horizontal="left"/>
    </xf>
    <xf numFmtId="2" fontId="10" fillId="8" borderId="0" xfId="0" applyNumberFormat="1" applyFont="1" applyFill="1" applyBorder="1" applyAlignment="1">
      <alignment horizontal="left"/>
    </xf>
    <xf numFmtId="0" fontId="9" fillId="7" borderId="0" xfId="0" applyFont="1" applyFill="1" applyBorder="1"/>
    <xf numFmtId="14" fontId="4" fillId="0" borderId="0" xfId="0" applyNumberFormat="1" applyFont="1" applyFill="1" applyBorder="1" applyAlignment="1">
      <alignment horizontal="center"/>
    </xf>
    <xf numFmtId="0" fontId="9" fillId="10" borderId="0" xfId="0" applyFont="1" applyFill="1" applyBorder="1"/>
    <xf numFmtId="0" fontId="9" fillId="6" borderId="0" xfId="0" applyFont="1" applyFill="1" applyBorder="1"/>
    <xf numFmtId="0" fontId="2" fillId="0" borderId="0" xfId="0" applyFont="1" applyFill="1" applyBorder="1"/>
    <xf numFmtId="14" fontId="11" fillId="0" borderId="2" xfId="0" applyNumberFormat="1" applyFont="1" applyFill="1" applyBorder="1"/>
    <xf numFmtId="0" fontId="12" fillId="0" borderId="2" xfId="0" applyFont="1" applyFill="1" applyBorder="1"/>
    <xf numFmtId="0" fontId="2" fillId="0" borderId="2" xfId="0" applyFont="1" applyFill="1" applyBorder="1"/>
    <xf numFmtId="2" fontId="2" fillId="0" borderId="2" xfId="5" applyNumberFormat="1" applyFont="1" applyFill="1" applyBorder="1"/>
    <xf numFmtId="14" fontId="2" fillId="0" borderId="2" xfId="0" applyNumberFormat="1" applyFont="1" applyFill="1" applyBorder="1"/>
    <xf numFmtId="0" fontId="4" fillId="0" borderId="2" xfId="0" applyFont="1" applyFill="1" applyBorder="1" applyAlignment="1">
      <alignment horizontal="center"/>
    </xf>
    <xf numFmtId="2" fontId="4" fillId="0" borderId="2" xfId="0" applyNumberFormat="1" applyFont="1" applyFill="1" applyBorder="1" applyAlignment="1">
      <alignment horizontal="center"/>
    </xf>
    <xf numFmtId="44" fontId="4" fillId="0" borderId="2" xfId="1" applyNumberFormat="1" applyFont="1" applyFill="1" applyBorder="1" applyAlignment="1">
      <alignment horizontal="center"/>
    </xf>
    <xf numFmtId="0" fontId="0" fillId="11" borderId="0" xfId="0" applyFill="1" applyBorder="1"/>
    <xf numFmtId="0" fontId="1" fillId="0" borderId="2" xfId="0" applyFont="1" applyFill="1" applyBorder="1"/>
    <xf numFmtId="0" fontId="6" fillId="0" borderId="0" xfId="0" applyFont="1" applyFill="1" applyBorder="1"/>
    <xf numFmtId="0" fontId="6" fillId="0" borderId="0" xfId="0" applyFont="1" applyBorder="1"/>
    <xf numFmtId="43" fontId="6" fillId="0" borderId="0" xfId="5" applyFont="1" applyBorder="1"/>
    <xf numFmtId="0" fontId="0" fillId="0" borderId="0" xfId="0" applyBorder="1" applyAlignment="1">
      <alignment horizontal="center"/>
    </xf>
    <xf numFmtId="0" fontId="0" fillId="9" borderId="0" xfId="0" applyFill="1" applyBorder="1" applyAlignment="1">
      <alignment horizontal="center"/>
    </xf>
    <xf numFmtId="167" fontId="6" fillId="0" borderId="0" xfId="5" applyNumberFormat="1" applyFont="1" applyBorder="1"/>
    <xf numFmtId="167" fontId="6" fillId="0" borderId="0" xfId="0" applyNumberFormat="1" applyFont="1" applyBorder="1"/>
  </cellXfs>
  <cellStyles count="6">
    <cellStyle name="Moeda" xfId="1" builtinId="4"/>
    <cellStyle name="Normal" xfId="0" builtinId="0"/>
    <cellStyle name="Normal 2" xfId="3" xr:uid="{1EC9FDE7-DFA0-44A8-9257-2FC4BA837E4B}"/>
    <cellStyle name="Normal 3" xfId="4" xr:uid="{55231AFA-EAFC-4B6F-8665-804A895381D1}"/>
    <cellStyle name="Vírgula" xfId="5" builtinId="3"/>
    <cellStyle name="Vírgula 2" xfId="2" xr:uid="{C6D07EC9-D9ED-42A4-93DE-9C72DFA4500B}"/>
  </cellStyles>
  <dxfs count="41">
    <dxf>
      <font>
        <b/>
        <i val="0"/>
        <color rgb="FFFF0000"/>
      </font>
    </dxf>
    <dxf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indexed="64"/>
          <bgColor rgb="FFD9D9D9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border outline="0">
        <top style="thin">
          <color theme="9"/>
        </top>
        <bottom style="thin">
          <color theme="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318405</xdr:colOff>
          <xdr:row>0</xdr:row>
          <xdr:rowOff>781050</xdr:rowOff>
        </xdr:from>
        <xdr:to>
          <xdr:col>1</xdr:col>
          <xdr:colOff>366030</xdr:colOff>
          <xdr:row>0</xdr:row>
          <xdr:rowOff>1228725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514348</xdr:colOff>
          <xdr:row>0</xdr:row>
          <xdr:rowOff>781050</xdr:rowOff>
        </xdr:from>
        <xdr:to>
          <xdr:col>3</xdr:col>
          <xdr:colOff>561973</xdr:colOff>
          <xdr:row>0</xdr:row>
          <xdr:rowOff>1238250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Processar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1042305</xdr:colOff>
          <xdr:row>0</xdr:row>
          <xdr:rowOff>781050</xdr:rowOff>
        </xdr:from>
        <xdr:to>
          <xdr:col>5</xdr:col>
          <xdr:colOff>1289955</xdr:colOff>
          <xdr:row>0</xdr:row>
          <xdr:rowOff>1247775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861332</xdr:colOff>
      <xdr:row>0</xdr:row>
      <xdr:rowOff>209551</xdr:rowOff>
    </xdr:from>
    <xdr:to>
      <xdr:col>5</xdr:col>
      <xdr:colOff>1299482</xdr:colOff>
      <xdr:row>0</xdr:row>
      <xdr:rowOff>419101</xdr:rowOff>
    </xdr:to>
    <xdr:sp macro="" textlink="$M$1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637439" y="209551"/>
          <a:ext cx="1839686" cy="20955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8E443269-D5D3-491D-8F80-9E11A9FB1B82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t>00:00:00</a:t>
          </a:fld>
          <a:endParaRPr lang="pt-BR" sz="1100"/>
        </a:p>
      </xdr:txBody>
    </xdr:sp>
    <xdr:clientData/>
  </xdr:twoCellAnchor>
  <xdr:twoCellAnchor>
    <xdr:from>
      <xdr:col>0</xdr:col>
      <xdr:colOff>346980</xdr:colOff>
      <xdr:row>0</xdr:row>
      <xdr:rowOff>133351</xdr:rowOff>
    </xdr:from>
    <xdr:to>
      <xdr:col>1</xdr:col>
      <xdr:colOff>508906</xdr:colOff>
      <xdr:row>0</xdr:row>
      <xdr:rowOff>390525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346980" y="133351"/>
          <a:ext cx="1413783" cy="257174"/>
        </a:xfrm>
        <a:prstGeom prst="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bg1"/>
              </a:solidFill>
            </a:rPr>
            <a:t>Qnt</a:t>
          </a:r>
          <a:r>
            <a:rPr lang="pt-BR" sz="1100" baseline="0">
              <a:solidFill>
                <a:schemeClr val="bg1"/>
              </a:solidFill>
            </a:rPr>
            <a:t> </a:t>
          </a:r>
          <a:r>
            <a:rPr lang="pt-BR" sz="1100">
              <a:solidFill>
                <a:schemeClr val="bg1"/>
              </a:solidFill>
            </a:rPr>
            <a:t>de Lançamentos:</a:t>
          </a:r>
        </a:p>
      </xdr:txBody>
    </xdr:sp>
    <xdr:clientData/>
  </xdr:twoCellAnchor>
  <xdr:twoCellAnchor>
    <xdr:from>
      <xdr:col>1</xdr:col>
      <xdr:colOff>518430</xdr:colOff>
      <xdr:row>0</xdr:row>
      <xdr:rowOff>457201</xdr:rowOff>
    </xdr:from>
    <xdr:to>
      <xdr:col>1</xdr:col>
      <xdr:colOff>1147080</xdr:colOff>
      <xdr:row>0</xdr:row>
      <xdr:rowOff>666751</xdr:rowOff>
    </xdr:to>
    <xdr:sp macro="" textlink="$I$1">
      <xdr:nvSpPr>
        <xdr:cNvPr id="11" name="Retângul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770287" y="457201"/>
          <a:ext cx="628650" cy="20955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0B18F4D1-7CA7-46CC-86C8-A1D04F1E737A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0</a:t>
          </a:fld>
          <a:endParaRPr lang="pt-BR" sz="1100"/>
        </a:p>
      </xdr:txBody>
    </xdr:sp>
    <xdr:clientData/>
  </xdr:twoCellAnchor>
  <xdr:twoCellAnchor>
    <xdr:from>
      <xdr:col>0</xdr:col>
      <xdr:colOff>537480</xdr:colOff>
      <xdr:row>0</xdr:row>
      <xdr:rowOff>400051</xdr:rowOff>
    </xdr:from>
    <xdr:to>
      <xdr:col>1</xdr:col>
      <xdr:colOff>499380</xdr:colOff>
      <xdr:row>0</xdr:row>
      <xdr:rowOff>657225</xdr:rowOff>
    </xdr:to>
    <xdr:sp macro="" textlink="">
      <xdr:nvSpPr>
        <xdr:cNvPr id="12" name="Retângul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537480" y="400051"/>
          <a:ext cx="1213757" cy="257174"/>
        </a:xfrm>
        <a:prstGeom prst="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bg1"/>
              </a:solidFill>
            </a:rPr>
            <a:t>Qnt</a:t>
          </a:r>
          <a:r>
            <a:rPr lang="pt-BR" sz="1100" baseline="0">
              <a:solidFill>
                <a:schemeClr val="bg1"/>
              </a:solidFill>
            </a:rPr>
            <a:t> </a:t>
          </a:r>
          <a:r>
            <a:rPr lang="pt-BR" sz="1100">
              <a:solidFill>
                <a:schemeClr val="bg1"/>
              </a:solidFill>
            </a:rPr>
            <a:t>de Pgtos</a:t>
          </a:r>
          <a:r>
            <a:rPr lang="pt-BR" sz="1100" baseline="0">
              <a:solidFill>
                <a:schemeClr val="bg1"/>
              </a:solidFill>
            </a:rPr>
            <a:t> SAP</a:t>
          </a:r>
          <a:r>
            <a:rPr lang="pt-BR" sz="1100">
              <a:solidFill>
                <a:schemeClr val="bg1"/>
              </a:solidFill>
            </a:rPr>
            <a:t>:</a:t>
          </a:r>
        </a:p>
      </xdr:txBody>
    </xdr:sp>
    <xdr:clientData/>
  </xdr:twoCellAnchor>
  <xdr:twoCellAnchor>
    <xdr:from>
      <xdr:col>3</xdr:col>
      <xdr:colOff>230332</xdr:colOff>
      <xdr:row>0</xdr:row>
      <xdr:rowOff>168853</xdr:rowOff>
    </xdr:from>
    <xdr:to>
      <xdr:col>4</xdr:col>
      <xdr:colOff>910689</xdr:colOff>
      <xdr:row>0</xdr:row>
      <xdr:rowOff>426027</xdr:rowOff>
    </xdr:to>
    <xdr:sp macro="" textlink="">
      <xdr:nvSpPr>
        <xdr:cNvPr id="15" name="Retângul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3985903" y="168853"/>
          <a:ext cx="1700893" cy="257174"/>
        </a:xfrm>
        <a:prstGeom prst="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bg1"/>
              </a:solidFill>
            </a:rPr>
            <a:t>Tempo</a:t>
          </a:r>
          <a:r>
            <a:rPr lang="pt-BR" sz="1100" baseline="0">
              <a:solidFill>
                <a:schemeClr val="bg1"/>
              </a:solidFill>
            </a:rPr>
            <a:t> de Processamento</a:t>
          </a:r>
          <a:r>
            <a:rPr lang="pt-BR" sz="1100">
              <a:solidFill>
                <a:schemeClr val="bg1"/>
              </a:solidFill>
            </a:rPr>
            <a:t>:</a:t>
          </a:r>
        </a:p>
      </xdr:txBody>
    </xdr:sp>
    <xdr:clientData/>
  </xdr:twoCellAnchor>
  <xdr:twoCellAnchor>
    <xdr:from>
      <xdr:col>1</xdr:col>
      <xdr:colOff>518430</xdr:colOff>
      <xdr:row>0</xdr:row>
      <xdr:rowOff>180976</xdr:rowOff>
    </xdr:from>
    <xdr:to>
      <xdr:col>1</xdr:col>
      <xdr:colOff>1147080</xdr:colOff>
      <xdr:row>0</xdr:row>
      <xdr:rowOff>390526</xdr:rowOff>
    </xdr:to>
    <xdr:sp macro="" textlink="$H$1">
      <xdr:nvSpPr>
        <xdr:cNvPr id="16" name="Retângul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770287" y="180976"/>
          <a:ext cx="628650" cy="20955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B1A3D000-5890-4D60-8073-527D5220EBBC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0</a:t>
          </a:fld>
          <a:endParaRPr lang="pt-BR" sz="1100"/>
        </a:p>
      </xdr:txBody>
    </xdr:sp>
    <xdr:clientData/>
  </xdr:twoCellAnchor>
  <xdr:twoCellAnchor>
    <xdr:from>
      <xdr:col>1</xdr:col>
      <xdr:colOff>1194705</xdr:colOff>
      <xdr:row>0</xdr:row>
      <xdr:rowOff>457201</xdr:rowOff>
    </xdr:from>
    <xdr:to>
      <xdr:col>2</xdr:col>
      <xdr:colOff>1004205</xdr:colOff>
      <xdr:row>0</xdr:row>
      <xdr:rowOff>671080</xdr:rowOff>
    </xdr:to>
    <xdr:sp macro="" textlink="$J$1">
      <xdr:nvSpPr>
        <xdr:cNvPr id="17" name="Retângulo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2446562" y="457201"/>
          <a:ext cx="1061357" cy="213879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5ACB1A67-F239-47F3-B95B-F2DFA1CC3B0A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-   </a:t>
          </a:fld>
          <a:endParaRPr lang="pt-BR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CE65979-D4D1-4392-8661-F1BF9AB806A4}" name="Tabela8" displayName="Tabela8" ref="A3:AI4" totalsRowShown="0" headerRowDxfId="40" dataDxfId="39" tableBorderDxfId="38" dataCellStyle="Moeda">
  <autoFilter ref="A3:AI4" xr:uid="{E431E72B-1AF0-4EFA-ACF6-BAB911A6036D}"/>
  <tableColumns count="35">
    <tableColumn id="1" xr3:uid="{041ADB0C-FE56-4602-B08C-431D7CC8EBAC}" name="Fornecedor (Cod)" dataDxfId="37">
      <calculatedColumnFormula>IFERROR(INDEX(tbcodcnpj[#All],MATCH(T4,cod_sap!A:A,0),3),"")</calculatedColumnFormula>
    </tableColumn>
    <tableColumn id="2" xr3:uid="{2DE586A4-F622-44A9-AA05-A5C66F13CDA8}" name="Referencia" dataDxfId="36"/>
    <tableColumn id="3" xr3:uid="{20FBE4D4-1838-4203-BDDB-9106A8CC3857}" name=" Valor " dataDxfId="35" dataCellStyle="Vírgula"/>
    <tableColumn id="4" xr3:uid="{8BD7C5DE-E222-4E61-BD01-5CA62373DE6E}" name="Vencimento" dataDxfId="34"/>
    <tableColumn id="5" xr3:uid="{D59F7C85-2554-436D-BCB6-5D45B30BA2EF}" name="FORMA PGTO" dataDxfId="33">
      <calculatedColumnFormula>IF(Z4="SAP","L",IF(Z4="SAP-TED","Y",IF(Z4="SAP-GRU","L",IF(Z4="BB","M",IF(Z4="BB-TED","M",IF(Z4="BRA","Q",IF(Z4="BRS","Q",IF(Z4="CEF","Q"))))))))</calculatedColumnFormula>
    </tableColumn>
    <tableColumn id="6" xr3:uid="{7FD29A8D-DB8D-406C-BE23-52DA2CC3CB76}" name="Beneficiario(codigo)" dataDxfId="32">
      <calculatedColumnFormula>IFERROR(INDEX(tbcodcnpj[#All],MATCH(U4,cod_sap!A:A,0),3),"")</calculatedColumnFormula>
    </tableColumn>
    <tableColumn id="7" xr3:uid="{F4338F5F-68A9-48BB-8A70-79B6FF37D4C2}" name="Conta Razão" dataDxfId="31">
      <calculatedColumnFormula>IFERROR(INDEX(tbcodgeral[#All],MATCH($AE4,classificacao!$A$1:$A$47,0),2),"")</calculatedColumnFormula>
    </tableColumn>
    <tableColumn id="8" xr3:uid="{60C9FD9F-01D7-4939-AB63-C8B006DA6594}" name="Atribuicao" dataDxfId="30">
      <calculatedColumnFormula>SUBSTITUTE(Acento(UPPER(LEFT(X4,18))),CHAR(10),"-")</calculatedColumnFormula>
    </tableColumn>
    <tableColumn id="9" xr3:uid="{CD88C0BB-C99B-4D02-97C0-DCC870F3C7E4}" name="Texto" dataDxfId="29"/>
    <tableColumn id="10" xr3:uid="{EFF97475-79CD-46F6-9325-62AD2D1D543C}" name="Ccustos" dataDxfId="28">
      <calculatedColumnFormula>IFERROR(IF(LEFT(G4,1)="1","",INDEX(tbcodgeral[#All],MATCH($AE4,classificacao!$A$1:$A$47,0),3)),"")</calculatedColumnFormula>
    </tableColumn>
    <tableColumn id="11" xr3:uid="{9473CF64-6AD3-41DF-AD74-83C9098621C1}" name="C Lucro" dataDxfId="27">
      <calculatedColumnFormula>IFERROR(IF(LEFT(G4,1)&lt;&gt;"1","",INDEX(tbcodgeral[#All],MATCH($AE4,classificacao!$A$1:$A$47,0),4)),"")</calculatedColumnFormula>
    </tableColumn>
    <tableColumn id="12" xr3:uid="{2AAD4EB1-1E20-42F5-88A8-13A4279B1551}" name="Ordem" dataDxfId="26">
      <calculatedColumnFormula>IFERROR(IF(LEFT(G4,1)="3",INDEX(tbcodgeral[#All],MATCH($AE4,classificacao!$A$1:$A$47,0),5),""),"")</calculatedColumnFormula>
    </tableColumn>
    <tableColumn id="13" xr3:uid="{1CD215EE-AEEE-4053-8A35-75A5F15914FE}" name="nº Sap" dataDxfId="25"/>
    <tableColumn id="14" xr3:uid="{4C96159E-A7DC-4972-956D-C60EA03C2572}" name="Linha digitavel" dataDxfId="24">
      <calculatedColumnFormula>SUBSTITUTE(SUBSTITUTE(SUBSTITUTE(SUBSTITUTE(AA4," ",""),"  ",""),".",""),"-","")</calculatedColumnFormula>
    </tableColumn>
    <tableColumn id="15" xr3:uid="{69B781F6-248E-44B4-B94F-7292A5202DA0}" name="DESCRIÇÃO" dataDxfId="23">
      <calculatedColumnFormula>"Processo: "&amp;" "&amp;Tabela8[[#This Row],[Texto]]&amp;" --- "&amp;"Descrição: "&amp;Tabela8[[#This Row],[Descrição2]]</calculatedColumnFormula>
    </tableColumn>
    <tableColumn id="16" xr3:uid="{4F914692-ED54-4FBD-B8DF-6787C9FA5B0C}" name="É guia de Arrecadação" dataDxfId="22">
      <calculatedColumnFormula>IF(LEFT(N4,1)="8","Sim","Não")</calculatedColumnFormula>
    </tableColumn>
    <tableColumn id="17" xr3:uid="{6E6367E6-C3A1-4D86-BB8C-C23ADC33BDA6}" name="Lçto efetuado?" dataDxfId="21"/>
    <tableColumn id="18" xr3:uid="{4D951301-5B8C-4F6E-9837-BC5D9975E3FD}" name="Assoc. realizada?" dataDxfId="20"/>
    <tableColumn id="19" xr3:uid="{6FEFCAF3-D2DF-4774-8278-F196375A5948}" name="Enviado para aprovação?" dataDxfId="19"/>
    <tableColumn id="20" xr3:uid="{D5F2AE17-0FEF-4076-A10E-982A0B75CABD}" name="Favorecido (CPF/CNPJ)" dataDxfId="18"/>
    <tableColumn id="21" xr3:uid="{BB95A229-4E6C-4E9F-BD08-854A3A16144B}" name="Beneficiario" dataDxfId="17"/>
    <tableColumn id="22" xr3:uid="{016C4A94-268A-4D79-8855-4137EF4FD1BF}" name="Área do Direito" dataDxfId="16"/>
    <tableColumn id="23" xr3:uid="{00864832-5DC5-4D34-97B9-203F7793C5B7}" name="Sub Tipo" dataDxfId="15"/>
    <tableColumn id="24" xr3:uid="{0A59F12D-80CB-4A83-937E-6F53117E9A7F}" name="Descrição2" dataDxfId="14"/>
    <tableColumn id="25" xr3:uid="{B0C339D3-DA31-49E1-BB84-EF8A4E711949}" name="Categoria_Contabil" dataDxfId="13"/>
    <tableColumn id="26" xr3:uid="{6A698A8D-264B-42ED-9233-B2822450F8E0}" name="BANCO" dataDxfId="12"/>
    <tableColumn id="27" xr3:uid="{8B8582E1-1421-48B8-A6C5-E4A3AE721E31}" name="Valores - Código de Barras" dataDxfId="11"/>
    <tableColumn id="28" xr3:uid="{C5243F42-2764-47F8-A013-BFDA5A4CBB76}" name="COD SUBTIPO" dataDxfId="10">
      <calculatedColumnFormula>INDEX(tbsubtipo[#All],MATCH($W4,classificacao!$I$1:$I$8,0),2)</calculatedColumnFormula>
    </tableColumn>
    <tableColumn id="29" xr3:uid="{9746B989-00E3-4757-88CC-7D45547D80F2}" name="COD NAT" dataDxfId="9">
      <calculatedColumnFormula>INDEX(tbnatureza[#All],MATCH($V4,classificacao!$L$1:$L$7,0),2)</calculatedColumnFormula>
    </tableColumn>
    <tableColumn id="30" xr3:uid="{A29D0BCE-A449-40F2-B568-475F51A6D4FF}" name="Cod categ-cont" dataDxfId="8">
      <calculatedColumnFormula>IF(Y4="",1,INDEX(tbcatcontb[#All],MATCH(Y4,classificacao!$O$1:$O$5,0),2))</calculatedColumnFormula>
    </tableColumn>
    <tableColumn id="31" xr3:uid="{EFADC050-BF5B-45A6-9119-BC84C80D4B4E}" name="codigo geral" dataDxfId="7">
      <calculatedColumnFormula>"_"&amp;AB4&amp;AC4&amp;AD4</calculatedColumnFormula>
    </tableColumn>
    <tableColumn id="32" xr3:uid="{77430B89-5575-4828-B34C-77ED1EA76F23}" name="Data de Vencimento2" dataDxfId="6">
      <calculatedColumnFormula>IF(N4="","",MID(N4,34,4)+$AJ$3)</calculatedColumnFormula>
    </tableColumn>
    <tableColumn id="33" xr3:uid="{3765A834-2568-4329-BFA1-DCC128BA8CF5}" name="Valor2" dataDxfId="5" dataCellStyle="Moeda">
      <calculatedColumnFormula>IF(LEFT(N4,1)="8",MID(N4,5,7)&amp;MID(N4,13,2),MID(N4,38,8))</calculatedColumnFormula>
    </tableColumn>
    <tableColumn id="34" xr3:uid="{ED3F32B4-1E94-49D8-B706-01FBF9CAFE90}" name="centavos" dataDxfId="4" dataCellStyle="Moeda">
      <calculatedColumnFormula>(IF(AA4="","",IF(LEFT(N4,1)="8","0,"&amp;MID(N4,15,2),"0,"&amp;RIGHT(N4,2))))</calculatedColumnFormula>
    </tableColumn>
    <tableColumn id="35" xr3:uid="{ED69ACA6-CE4B-43CD-8BD2-4A66D22B44B2}" name="valor total" dataDxfId="3" dataCellStyle="Moeda">
      <calculatedColumnFormula>IF(N4="",C4,AG4+AH4)</calculatedColumnFormula>
    </tableColumn>
  </tableColumns>
  <tableStyleInfo name="TableStyleLight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A02B6D3-85DD-48DF-8C4E-F6A034273F11}" name="tbcodgeral" displayName="tbcodgeral" ref="A1:F47" totalsRowShown="0">
  <autoFilter ref="A1:F47" xr:uid="{66917134-D74B-4D14-A30A-3697623174C0}"/>
  <tableColumns count="6">
    <tableColumn id="1" xr3:uid="{B11C50DD-74E8-4970-80EE-68E637465904}" name="codigo"/>
    <tableColumn id="2" xr3:uid="{9879D9EC-E7A5-4809-BA19-47F654DC30D0}" name="CRAZAO"/>
    <tableColumn id="3" xr3:uid="{32420DB0-F057-4E3C-BA15-7A07568C3C24}" name="c.custo"/>
    <tableColumn id="4" xr3:uid="{A555B33F-327F-4377-B378-9F51C9B80A0B}" name="c.lucro"/>
    <tableColumn id="5" xr3:uid="{2D45E1E1-F0C9-46BD-9761-1048BBB3AB90}" name="Ordem"/>
    <tableColumn id="6" xr3:uid="{5851A04A-A46E-426A-8AC2-1DCBF813C66D}" name="nome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87F3CBD-3383-48F0-BC90-32FC54ED6021}" name="tbsubtipo" displayName="tbsubtipo" ref="I1:J7" totalsRowShown="0">
  <autoFilter ref="I1:J7" xr:uid="{1592A852-C9A5-4078-B08F-2E199DB4A2B3}"/>
  <tableColumns count="2">
    <tableColumn id="1" xr3:uid="{557011F7-E7B6-47E8-9E22-FDAA249EA70C}" name="Sub Tipo"/>
    <tableColumn id="2" xr3:uid="{00C97E26-DB68-4712-A942-C5E426147AAC}" name="pts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7D32747-E361-461E-919F-082F8E6C6BBE}" name="tbnatureza" displayName="tbnatureza" ref="L1:M7" totalsRowShown="0">
  <autoFilter ref="L1:M7" xr:uid="{CFE2EB7E-FC5B-4016-9BD0-25AA47D83704}"/>
  <tableColumns count="2">
    <tableColumn id="1" xr3:uid="{FE8140F6-298F-4A00-BED6-29691768FB7B}" name="Natureza"/>
    <tableColumn id="2" xr3:uid="{4DD66F3A-4924-4E1A-84D1-186190856331}" name="pts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D4067DA-24F3-4F91-9F95-933DDF45B06D}" name="tbcatcontb" displayName="tbcatcontb" ref="O1:P5" totalsRowShown="0">
  <autoFilter ref="O1:P5" xr:uid="{ADC79A30-7795-481E-9EE0-0CD345FE0202}"/>
  <tableColumns count="2">
    <tableColumn id="1" xr3:uid="{C9796350-6406-4E21-BB0B-DF6D126E8A56}" name="Descrição"/>
    <tableColumn id="2" xr3:uid="{578004AC-F2DF-4767-83F4-4833B64E5AB2}" name="pts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7C0ACC3-FE40-4060-9764-ED76D2F361AA}" name="tbcodcnpj" displayName="tbcodcnpj" ref="A1:C1395" totalsRowShown="0">
  <autoFilter ref="A1:C1395" xr:uid="{0CA27ABF-4A00-4160-B4CB-7FBDA5B094B4}"/>
  <tableColumns count="3">
    <tableColumn id="1" xr3:uid="{18D195B3-F0CB-4684-B416-4E2B96F7EB75}" name="CNPJ" dataDxfId="2" dataCellStyle="Normal 3"/>
    <tableColumn id="2" xr3:uid="{D83BB43E-2FFC-4D29-94A7-F1EE8F1923D4}" name="Favorecido" dataDxfId="1" dataCellStyle="Normal 2"/>
    <tableColumn id="3" xr3:uid="{9E51329E-8351-4099-8827-AB5433618F19}" name="Codigo" dataCellStyle="Normal 2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P"/>
  <dimension ref="A1:AJ4"/>
  <sheetViews>
    <sheetView showGridLines="0" tabSelected="1" zoomScale="70" zoomScaleNormal="70" workbookViewId="0">
      <selection activeCell="AL17" sqref="AL17"/>
    </sheetView>
  </sheetViews>
  <sheetFormatPr defaultRowHeight="15" x14ac:dyDescent="0.25"/>
  <cols>
    <col min="1" max="3" width="18.85546875" style="11" customWidth="1"/>
    <col min="4" max="4" width="15.28515625" style="11" customWidth="1"/>
    <col min="5" max="5" width="21" style="11" bestFit="1" customWidth="1"/>
    <col min="6" max="6" width="28.5703125" style="11" customWidth="1"/>
    <col min="7" max="7" width="19.28515625" style="11" customWidth="1"/>
    <col min="8" max="8" width="25.85546875" style="11" customWidth="1"/>
    <col min="9" max="9" width="34" style="11" customWidth="1"/>
    <col min="10" max="10" width="15.42578125" style="11" customWidth="1"/>
    <col min="11" max="11" width="14.42578125" style="11" customWidth="1"/>
    <col min="12" max="12" width="12.42578125" style="11" customWidth="1"/>
    <col min="13" max="13" width="18.85546875" style="11" customWidth="1"/>
    <col min="14" max="14" width="44.28515625" style="11" customWidth="1"/>
    <col min="15" max="15" width="28.42578125" style="11" customWidth="1"/>
    <col min="16" max="16" width="22.28515625" style="11" hidden="1" customWidth="1"/>
    <col min="17" max="18" width="18.85546875" style="11" hidden="1" customWidth="1"/>
    <col min="19" max="20" width="24.5703125" style="11" hidden="1" customWidth="1"/>
    <col min="21" max="21" width="17.28515625" style="11" hidden="1" customWidth="1"/>
    <col min="22" max="22" width="19" style="11" hidden="1" customWidth="1"/>
    <col min="23" max="23" width="14.85546875" style="11" hidden="1" customWidth="1"/>
    <col min="24" max="24" width="45.7109375" style="11" hidden="1" customWidth="1"/>
    <col min="25" max="25" width="23" style="11" hidden="1" customWidth="1"/>
    <col min="26" max="26" width="18.140625" style="11" hidden="1" customWidth="1"/>
    <col min="27" max="27" width="64" style="11" hidden="1" customWidth="1"/>
    <col min="28" max="28" width="18.7109375" style="12" hidden="1" customWidth="1"/>
    <col min="29" max="29" width="18" style="12" hidden="1" customWidth="1"/>
    <col min="30" max="30" width="20.140625" style="12" hidden="1" customWidth="1"/>
    <col min="31" max="31" width="17.42578125" style="13" hidden="1" customWidth="1"/>
    <col min="32" max="32" width="22.7109375" style="11" hidden="1" customWidth="1"/>
    <col min="33" max="33" width="12.7109375" style="11" hidden="1" customWidth="1"/>
    <col min="34" max="34" width="13.7109375" style="11" hidden="1" customWidth="1"/>
    <col min="35" max="35" width="25.5703125" style="11" hidden="1" customWidth="1"/>
    <col min="36" max="36" width="17" style="12" hidden="1" customWidth="1"/>
    <col min="37" max="16384" width="9.140625" style="11"/>
  </cols>
  <sheetData>
    <row r="1" spans="1:36" ht="114" customHeight="1" x14ac:dyDescent="0.25">
      <c r="A1" s="30"/>
      <c r="B1" s="30"/>
      <c r="C1" s="30"/>
      <c r="D1" s="30"/>
      <c r="E1" s="30"/>
      <c r="F1" s="30"/>
      <c r="G1" s="12"/>
      <c r="H1" s="32">
        <f>COUNTA(B4:B4)</f>
        <v>0</v>
      </c>
      <c r="I1" s="33">
        <f>COUNTIF(E4:E4,"l")</f>
        <v>0</v>
      </c>
      <c r="J1" s="34">
        <f>SUMIF(E4:E4,"l",C4:C4)</f>
        <v>0</v>
      </c>
      <c r="K1" s="37"/>
      <c r="L1" s="38"/>
      <c r="M1" s="38">
        <f>L1-K1</f>
        <v>0</v>
      </c>
      <c r="S1" s="33">
        <f ca="1">YEAR(TODAY())</f>
        <v>2021</v>
      </c>
    </row>
    <row r="2" spans="1:36" ht="11.25" customHeight="1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36" t="s">
        <v>2278</v>
      </c>
      <c r="Q2" s="36"/>
      <c r="R2" s="36"/>
      <c r="S2" s="36"/>
      <c r="AF2" s="35" t="s">
        <v>2285</v>
      </c>
      <c r="AG2" s="35"/>
      <c r="AH2" s="35"/>
      <c r="AI2" s="35"/>
      <c r="AJ2" s="12" t="s">
        <v>2284</v>
      </c>
    </row>
    <row r="3" spans="1:36" ht="20.100000000000001" customHeight="1" x14ac:dyDescent="0.25">
      <c r="A3" s="19" t="s">
        <v>2259</v>
      </c>
      <c r="B3" s="19" t="s">
        <v>2260</v>
      </c>
      <c r="C3" s="19" t="s">
        <v>2261</v>
      </c>
      <c r="D3" s="19" t="s">
        <v>2262</v>
      </c>
      <c r="E3" s="19" t="s">
        <v>2263</v>
      </c>
      <c r="F3" s="19" t="s">
        <v>2264</v>
      </c>
      <c r="G3" s="19" t="s">
        <v>2265</v>
      </c>
      <c r="H3" s="19" t="s">
        <v>2266</v>
      </c>
      <c r="I3" s="19" t="s">
        <v>2267</v>
      </c>
      <c r="J3" s="19" t="s">
        <v>2268</v>
      </c>
      <c r="K3" s="19" t="s">
        <v>2269</v>
      </c>
      <c r="L3" s="19" t="s">
        <v>2270</v>
      </c>
      <c r="M3" s="19" t="s">
        <v>2271</v>
      </c>
      <c r="N3" s="19" t="s">
        <v>2272</v>
      </c>
      <c r="O3" s="19" t="s">
        <v>2273</v>
      </c>
      <c r="P3" s="20" t="s">
        <v>2274</v>
      </c>
      <c r="Q3" s="20" t="s">
        <v>2276</v>
      </c>
      <c r="R3" s="20" t="s">
        <v>2277</v>
      </c>
      <c r="S3" s="20" t="s">
        <v>2275</v>
      </c>
      <c r="T3" s="14" t="s">
        <v>0</v>
      </c>
      <c r="U3" s="14" t="s">
        <v>2279</v>
      </c>
      <c r="V3" s="14" t="s">
        <v>1</v>
      </c>
      <c r="W3" s="14" t="s">
        <v>2</v>
      </c>
      <c r="X3" s="14" t="s">
        <v>2405</v>
      </c>
      <c r="Y3" s="14" t="s">
        <v>4</v>
      </c>
      <c r="Z3" s="14" t="s">
        <v>2404</v>
      </c>
      <c r="AA3" s="14" t="s">
        <v>5</v>
      </c>
      <c r="AB3" s="15" t="s">
        <v>2286</v>
      </c>
      <c r="AC3" s="15" t="s">
        <v>2287</v>
      </c>
      <c r="AD3" s="15" t="s">
        <v>2288</v>
      </c>
      <c r="AE3" s="16" t="s">
        <v>2289</v>
      </c>
      <c r="AF3" s="17" t="s">
        <v>2280</v>
      </c>
      <c r="AG3" s="17" t="s">
        <v>2281</v>
      </c>
      <c r="AH3" s="17" t="s">
        <v>2282</v>
      </c>
      <c r="AI3" s="17" t="s">
        <v>2283</v>
      </c>
      <c r="AJ3" s="22" t="s">
        <v>2406</v>
      </c>
    </row>
    <row r="4" spans="1:36" s="12" customFormat="1" ht="32.25" customHeight="1" x14ac:dyDescent="0.25">
      <c r="A4" s="24" t="str">
        <f>IFERROR(INDEX(tbcodcnpj[#All],MATCH(T4,cod_sap!A:A,0),3),"")</f>
        <v/>
      </c>
      <c r="B4" s="24"/>
      <c r="C4" s="25"/>
      <c r="D4" s="26"/>
      <c r="E4" s="24" t="b">
        <f>IF(Z4="SAP","L",IF(Z4="SAP-TED","Y",IF(Z4="SAP-GRU","L",IF(Z4="BB","M",IF(Z4="BB-TED","M",IF(Z4="BRA","Q",IF(Z4="BRS","Q",IF(Z4="CEF","Q"))))))))</f>
        <v>0</v>
      </c>
      <c r="F4" s="24" t="str">
        <f>IFERROR(INDEX(tbcodcnpj[#All],MATCH(U4,cod_sap!A:A,0),3),"")</f>
        <v/>
      </c>
      <c r="G4" s="21" t="str">
        <f>IFERROR(INDEX(tbcodgeral[#All],MATCH($AE4,classificacao!$A$1:$A$47,0),2),"")</f>
        <v/>
      </c>
      <c r="H4" s="24" t="str">
        <f>SUBSTITUTE(Acento(UPPER(LEFT(X4,18))),CHAR(10),"-")</f>
        <v/>
      </c>
      <c r="I4" s="31"/>
      <c r="J4" s="24" t="str">
        <f>IFERROR(IF(LEFT(G4,1)="1","",INDEX(tbcodgeral[#All],MATCH($AE4,classificacao!$A$1:$A$47,0),3)),"")</f>
        <v/>
      </c>
      <c r="K4" s="27" t="str">
        <f>IFERROR(IF(LEFT(G4,1)&lt;&gt;"1","",INDEX(tbcodgeral[#All],MATCH($AE4,classificacao!$A$1:$A$47,0),4)),"")</f>
        <v/>
      </c>
      <c r="L4" s="27" t="str">
        <f>IFERROR(IF(LEFT(G4,1)="3",INDEX(tbcodgeral[#All],MATCH($AE4,classificacao!$A$1:$A$47,0),5),""),"")</f>
        <v/>
      </c>
      <c r="M4" s="27"/>
      <c r="N4" s="24" t="str">
        <f t="shared" ref="N4" si="0">SUBSTITUTE(SUBSTITUTE(SUBSTITUTE(SUBSTITUTE(AA4," ",""),"  ",""),".",""),"-","")</f>
        <v/>
      </c>
      <c r="O4" s="24" t="str">
        <f>"Processo: "&amp;" "&amp;Tabela8[[#This Row],[Texto]]&amp;" --- "&amp;"Descrição: "&amp;Tabela8[[#This Row],[Descrição2]]</f>
        <v xml:space="preserve">Processo:   --- Descrição: </v>
      </c>
      <c r="P4" s="27" t="str">
        <f t="shared" ref="P4" si="1">IF(LEFT(N4,1)="8","Sim","Não")</f>
        <v>Não</v>
      </c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 t="e">
        <f>INDEX(tbsubtipo[#All],MATCH($W4,classificacao!$I$1:$I$8,0),2)</f>
        <v>#N/A</v>
      </c>
      <c r="AC4" s="27" t="e">
        <f>INDEX(tbnatureza[#All],MATCH($V4,classificacao!$L$1:$L$7,0),2)</f>
        <v>#N/A</v>
      </c>
      <c r="AD4" s="27">
        <f>IF(Y4="",1,INDEX(tbcatcontb[#All],MATCH(Y4,classificacao!$O$1:$O$5,0),2))</f>
        <v>1</v>
      </c>
      <c r="AE4" s="28" t="e">
        <f>"_"&amp;AB4&amp;AC4&amp;AD4</f>
        <v>#N/A</v>
      </c>
      <c r="AF4" s="18" t="str">
        <f>IF(N4="","",MID(N4,34,4)+$AJ$3)</f>
        <v/>
      </c>
      <c r="AG4" s="29" t="str">
        <f t="shared" ref="AG4" si="2">IF(LEFT(N4,1)="8",MID(N4,5,7)&amp;MID(N4,13,2),MID(N4,38,8))</f>
        <v/>
      </c>
      <c r="AH4" s="29" t="str">
        <f>(IF(AA4="","",IF(LEFT(N4,1)="8","0,"&amp;MID(N4,15,2),"0,"&amp;RIGHT(N4,2))))</f>
        <v/>
      </c>
      <c r="AI4" s="29">
        <f>IF(N4="",C4,AG4+AH4)</f>
        <v>0</v>
      </c>
      <c r="AJ4" s="23"/>
    </row>
  </sheetData>
  <mergeCells count="2">
    <mergeCell ref="AF2:AI2"/>
    <mergeCell ref="P2:S2"/>
  </mergeCells>
  <conditionalFormatting sqref="C4">
    <cfRule type="expression" dxfId="0" priority="3">
      <formula>$C4&lt;&gt;$AI4</formula>
    </cfRule>
  </conditionalFormatting>
  <printOptions horizontalCentered="1" gridLines="1"/>
  <pageMargins left="0.7" right="0.7" top="0.75" bottom="0.75" header="0.3" footer="0.3"/>
  <pageSetup scale="28" fitToHeight="100" orientation="landscape" r:id="rId1"/>
  <headerFooter>
    <oddFooter>&amp;C&amp;1#&amp;"Calibri"&amp;10&amp;K000000Pública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mp_arq">
                <anchor moveWithCells="1" sizeWithCells="1">
                  <from>
                    <xdr:col>0</xdr:col>
                    <xdr:colOff>314325</xdr:colOff>
                    <xdr:row>0</xdr:row>
                    <xdr:rowOff>781050</xdr:rowOff>
                  </from>
                  <to>
                    <xdr:col>1</xdr:col>
                    <xdr:colOff>361950</xdr:colOff>
                    <xdr:row>0</xdr:row>
                    <xdr:rowOff>1228725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adastrar">
                <anchor moveWithCells="1" sizeWithCells="1">
                  <from>
                    <xdr:col>2</xdr:col>
                    <xdr:colOff>514350</xdr:colOff>
                    <xdr:row>0</xdr:row>
                    <xdr:rowOff>781050</xdr:rowOff>
                  </from>
                  <to>
                    <xdr:col>3</xdr:col>
                    <xdr:colOff>561975</xdr:colOff>
                    <xdr:row>0</xdr:row>
                    <xdr:rowOff>1238250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limpar">
                <anchor moveWithCells="1" sizeWithCells="1">
                  <from>
                    <xdr:col>4</xdr:col>
                    <xdr:colOff>1038225</xdr:colOff>
                    <xdr:row>0</xdr:row>
                    <xdr:rowOff>781050</xdr:rowOff>
                  </from>
                  <to>
                    <xdr:col>5</xdr:col>
                    <xdr:colOff>1285875</xdr:colOff>
                    <xdr:row>0</xdr:row>
                    <xdr:rowOff>1247775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9E3000-F3C7-4204-B0BB-08A014AA27E2}">
  <sheetPr codeName="Planilha3"/>
  <dimension ref="A1:P47"/>
  <sheetViews>
    <sheetView workbookViewId="0">
      <selection activeCell="H1" sqref="H1:H1048576"/>
    </sheetView>
  </sheetViews>
  <sheetFormatPr defaultRowHeight="15" x14ac:dyDescent="0.25"/>
  <cols>
    <col min="2" max="2" width="11" bestFit="1" customWidth="1"/>
    <col min="3" max="3" width="13.42578125" customWidth="1"/>
    <col min="4" max="4" width="11.5703125" customWidth="1"/>
    <col min="5" max="5" width="11" bestFit="1" customWidth="1"/>
    <col min="6" max="6" width="23.7109375" bestFit="1" customWidth="1"/>
    <col min="9" max="9" width="26.28515625" customWidth="1"/>
    <col min="10" max="10" width="10.28515625" customWidth="1"/>
    <col min="12" max="12" width="14.28515625" customWidth="1"/>
    <col min="13" max="13" width="12.5703125" customWidth="1"/>
    <col min="15" max="15" width="11.5703125" customWidth="1"/>
  </cols>
  <sheetData>
    <row r="1" spans="1:16" x14ac:dyDescent="0.25">
      <c r="A1" t="s">
        <v>2290</v>
      </c>
      <c r="B1" t="s">
        <v>2291</v>
      </c>
      <c r="C1" t="s">
        <v>2292</v>
      </c>
      <c r="D1" t="s">
        <v>2293</v>
      </c>
      <c r="E1" t="s">
        <v>2270</v>
      </c>
      <c r="F1" t="s">
        <v>2294</v>
      </c>
      <c r="I1" t="s">
        <v>2</v>
      </c>
      <c r="J1" t="s">
        <v>2343</v>
      </c>
      <c r="L1" t="s">
        <v>2344</v>
      </c>
      <c r="M1" t="s">
        <v>2343</v>
      </c>
      <c r="O1" t="s">
        <v>3</v>
      </c>
      <c r="P1" t="s">
        <v>2343</v>
      </c>
    </row>
    <row r="2" spans="1:16" x14ac:dyDescent="0.25">
      <c r="A2" t="s">
        <v>2358</v>
      </c>
      <c r="B2">
        <v>4509000006</v>
      </c>
      <c r="C2" t="s">
        <v>2295</v>
      </c>
      <c r="F2" t="s">
        <v>2296</v>
      </c>
      <c r="I2" t="s">
        <v>2345</v>
      </c>
      <c r="J2">
        <v>1</v>
      </c>
      <c r="L2" t="s">
        <v>2346</v>
      </c>
      <c r="M2">
        <v>1</v>
      </c>
      <c r="O2" t="s">
        <v>2347</v>
      </c>
      <c r="P2">
        <v>1</v>
      </c>
    </row>
    <row r="3" spans="1:16" x14ac:dyDescent="0.25">
      <c r="A3" t="s">
        <v>2359</v>
      </c>
      <c r="B3">
        <v>4509000011</v>
      </c>
      <c r="C3" t="s">
        <v>2295</v>
      </c>
      <c r="F3" t="s">
        <v>2297</v>
      </c>
      <c r="I3" t="s">
        <v>11</v>
      </c>
      <c r="J3">
        <v>2</v>
      </c>
      <c r="L3" t="s">
        <v>2348</v>
      </c>
      <c r="M3">
        <v>2</v>
      </c>
      <c r="O3" t="s">
        <v>2349</v>
      </c>
      <c r="P3">
        <v>2</v>
      </c>
    </row>
    <row r="4" spans="1:16" x14ac:dyDescent="0.25">
      <c r="A4" t="s">
        <v>2360</v>
      </c>
      <c r="B4">
        <v>4502000015</v>
      </c>
      <c r="C4" t="s">
        <v>2298</v>
      </c>
      <c r="F4" t="s">
        <v>2299</v>
      </c>
      <c r="I4" t="s">
        <v>2350</v>
      </c>
      <c r="J4">
        <v>3</v>
      </c>
      <c r="L4" t="s">
        <v>2351</v>
      </c>
      <c r="M4">
        <v>3</v>
      </c>
      <c r="O4" t="s">
        <v>2352</v>
      </c>
      <c r="P4">
        <v>3</v>
      </c>
    </row>
    <row r="5" spans="1:16" x14ac:dyDescent="0.25">
      <c r="A5" t="s">
        <v>2361</v>
      </c>
      <c r="B5">
        <v>4509000005</v>
      </c>
      <c r="C5" t="s">
        <v>2298</v>
      </c>
      <c r="F5" t="s">
        <v>2300</v>
      </c>
      <c r="I5" t="s">
        <v>2353</v>
      </c>
      <c r="J5">
        <v>4</v>
      </c>
      <c r="L5" t="s">
        <v>2354</v>
      </c>
      <c r="M5">
        <v>4</v>
      </c>
      <c r="O5" t="s">
        <v>15</v>
      </c>
      <c r="P5">
        <v>4</v>
      </c>
    </row>
    <row r="6" spans="1:16" x14ac:dyDescent="0.25">
      <c r="A6" t="s">
        <v>2362</v>
      </c>
      <c r="B6">
        <v>4509000006</v>
      </c>
      <c r="C6" t="s">
        <v>2295</v>
      </c>
      <c r="F6" t="s">
        <v>2301</v>
      </c>
      <c r="I6" t="s">
        <v>2355</v>
      </c>
      <c r="J6">
        <v>5</v>
      </c>
      <c r="L6" t="s">
        <v>2356</v>
      </c>
      <c r="M6">
        <v>5</v>
      </c>
    </row>
    <row r="7" spans="1:16" x14ac:dyDescent="0.25">
      <c r="A7" t="s">
        <v>2363</v>
      </c>
      <c r="B7">
        <v>4509000011</v>
      </c>
      <c r="C7" t="s">
        <v>2295</v>
      </c>
      <c r="F7" t="s">
        <v>2302</v>
      </c>
      <c r="I7" t="s">
        <v>20</v>
      </c>
      <c r="J7">
        <v>6</v>
      </c>
      <c r="L7" t="s">
        <v>2357</v>
      </c>
      <c r="M7">
        <v>6</v>
      </c>
    </row>
    <row r="8" spans="1:16" x14ac:dyDescent="0.25">
      <c r="A8" t="s">
        <v>2364</v>
      </c>
      <c r="B8">
        <v>4502000015</v>
      </c>
      <c r="C8" t="s">
        <v>2298</v>
      </c>
      <c r="F8" t="s">
        <v>2303</v>
      </c>
    </row>
    <row r="9" spans="1:16" x14ac:dyDescent="0.25">
      <c r="A9" t="s">
        <v>2365</v>
      </c>
      <c r="B9">
        <v>4509000006</v>
      </c>
      <c r="C9" t="s">
        <v>2295</v>
      </c>
      <c r="F9" t="s">
        <v>2304</v>
      </c>
    </row>
    <row r="10" spans="1:16" x14ac:dyDescent="0.25">
      <c r="A10" t="s">
        <v>2366</v>
      </c>
      <c r="B10">
        <v>4509000011</v>
      </c>
      <c r="C10" t="s">
        <v>2295</v>
      </c>
      <c r="F10" t="s">
        <v>2305</v>
      </c>
    </row>
    <row r="11" spans="1:16" x14ac:dyDescent="0.25">
      <c r="A11" t="s">
        <v>2367</v>
      </c>
      <c r="B11">
        <v>4502000015</v>
      </c>
      <c r="C11" t="s">
        <v>2298</v>
      </c>
      <c r="F11" t="s">
        <v>2306</v>
      </c>
    </row>
    <row r="12" spans="1:16" x14ac:dyDescent="0.25">
      <c r="A12" t="s">
        <v>2368</v>
      </c>
      <c r="B12">
        <v>4509000006</v>
      </c>
      <c r="C12" t="s">
        <v>2295</v>
      </c>
      <c r="F12" t="s">
        <v>2307</v>
      </c>
    </row>
    <row r="13" spans="1:16" x14ac:dyDescent="0.25">
      <c r="A13" t="s">
        <v>2369</v>
      </c>
      <c r="B13">
        <v>4509000011</v>
      </c>
      <c r="C13" t="s">
        <v>2295</v>
      </c>
      <c r="F13" t="s">
        <v>2308</v>
      </c>
    </row>
    <row r="14" spans="1:16" x14ac:dyDescent="0.25">
      <c r="A14" t="s">
        <v>2370</v>
      </c>
      <c r="B14">
        <v>4502000015</v>
      </c>
      <c r="C14" t="s">
        <v>2298</v>
      </c>
      <c r="F14" t="s">
        <v>2309</v>
      </c>
    </row>
    <row r="15" spans="1:16" x14ac:dyDescent="0.25">
      <c r="A15" t="s">
        <v>2371</v>
      </c>
      <c r="B15">
        <v>4509000006</v>
      </c>
      <c r="C15" t="s">
        <v>2295</v>
      </c>
      <c r="F15" t="s">
        <v>2310</v>
      </c>
    </row>
    <row r="16" spans="1:16" x14ac:dyDescent="0.25">
      <c r="A16" t="s">
        <v>2372</v>
      </c>
      <c r="B16">
        <v>4509000011</v>
      </c>
      <c r="C16" t="s">
        <v>2295</v>
      </c>
      <c r="F16" t="s">
        <v>2311</v>
      </c>
    </row>
    <row r="17" spans="1:6" x14ac:dyDescent="0.25">
      <c r="A17" t="s">
        <v>2373</v>
      </c>
      <c r="B17">
        <v>4502000015</v>
      </c>
      <c r="C17" t="s">
        <v>2298</v>
      </c>
      <c r="F17" t="s">
        <v>2312</v>
      </c>
    </row>
    <row r="18" spans="1:6" x14ac:dyDescent="0.25">
      <c r="A18" t="s">
        <v>2374</v>
      </c>
      <c r="B18">
        <v>4509000006</v>
      </c>
      <c r="C18" t="s">
        <v>2295</v>
      </c>
      <c r="F18" t="s">
        <v>2313</v>
      </c>
    </row>
    <row r="19" spans="1:6" x14ac:dyDescent="0.25">
      <c r="A19" t="s">
        <v>2375</v>
      </c>
      <c r="B19">
        <v>4509000011</v>
      </c>
      <c r="C19" t="s">
        <v>2295</v>
      </c>
      <c r="F19" t="s">
        <v>2314</v>
      </c>
    </row>
    <row r="20" spans="1:6" x14ac:dyDescent="0.25">
      <c r="A20" t="s">
        <v>2376</v>
      </c>
      <c r="B20">
        <v>4502000015</v>
      </c>
      <c r="C20" t="s">
        <v>2298</v>
      </c>
      <c r="F20" t="s">
        <v>2315</v>
      </c>
    </row>
    <row r="21" spans="1:6" x14ac:dyDescent="0.25">
      <c r="A21" t="s">
        <v>2377</v>
      </c>
      <c r="B21">
        <v>3409700007</v>
      </c>
      <c r="C21" t="s">
        <v>2298</v>
      </c>
      <c r="E21">
        <v>5110001384</v>
      </c>
      <c r="F21" t="s">
        <v>2316</v>
      </c>
    </row>
    <row r="22" spans="1:6" x14ac:dyDescent="0.25">
      <c r="A22" t="s">
        <v>2378</v>
      </c>
      <c r="B22">
        <v>3409700007</v>
      </c>
      <c r="C22" t="s">
        <v>2298</v>
      </c>
      <c r="E22">
        <v>5110001381</v>
      </c>
      <c r="F22" t="s">
        <v>2317</v>
      </c>
    </row>
    <row r="23" spans="1:6" x14ac:dyDescent="0.25">
      <c r="A23" t="s">
        <v>2379</v>
      </c>
      <c r="B23">
        <v>3409700007</v>
      </c>
      <c r="C23" t="s">
        <v>2298</v>
      </c>
      <c r="E23">
        <v>5110001382</v>
      </c>
      <c r="F23" t="s">
        <v>2318</v>
      </c>
    </row>
    <row r="24" spans="1:6" x14ac:dyDescent="0.25">
      <c r="A24" t="s">
        <v>2380</v>
      </c>
      <c r="B24">
        <v>3409700007</v>
      </c>
      <c r="C24" t="s">
        <v>2298</v>
      </c>
      <c r="E24">
        <v>5110001383</v>
      </c>
      <c r="F24" t="s">
        <v>2319</v>
      </c>
    </row>
    <row r="25" spans="1:6" x14ac:dyDescent="0.25">
      <c r="A25" t="s">
        <v>2381</v>
      </c>
      <c r="B25">
        <v>3409700007</v>
      </c>
      <c r="C25" t="s">
        <v>2298</v>
      </c>
      <c r="E25">
        <v>5110001384</v>
      </c>
      <c r="F25" t="s">
        <v>2320</v>
      </c>
    </row>
    <row r="26" spans="1:6" x14ac:dyDescent="0.25">
      <c r="A26" t="s">
        <v>2382</v>
      </c>
      <c r="B26">
        <v>3409700007</v>
      </c>
      <c r="C26" t="s">
        <v>2298</v>
      </c>
      <c r="E26">
        <v>5110001384</v>
      </c>
      <c r="F26" t="s">
        <v>2321</v>
      </c>
    </row>
    <row r="27" spans="1:6" x14ac:dyDescent="0.25">
      <c r="A27" t="s">
        <v>2383</v>
      </c>
      <c r="B27">
        <v>1211000004</v>
      </c>
      <c r="D27" t="s">
        <v>2298</v>
      </c>
      <c r="F27" t="s">
        <v>2322</v>
      </c>
    </row>
    <row r="28" spans="1:6" x14ac:dyDescent="0.25">
      <c r="A28" t="s">
        <v>2384</v>
      </c>
      <c r="B28">
        <v>1211000001</v>
      </c>
      <c r="D28" t="s">
        <v>2298</v>
      </c>
      <c r="F28" t="s">
        <v>2323</v>
      </c>
    </row>
    <row r="29" spans="1:6" x14ac:dyDescent="0.25">
      <c r="A29" t="s">
        <v>2385</v>
      </c>
      <c r="B29">
        <v>1211000002</v>
      </c>
      <c r="D29" t="s">
        <v>2298</v>
      </c>
      <c r="F29" t="s">
        <v>2324</v>
      </c>
    </row>
    <row r="30" spans="1:6" x14ac:dyDescent="0.25">
      <c r="A30" t="s">
        <v>2386</v>
      </c>
      <c r="B30">
        <v>1211000003</v>
      </c>
      <c r="D30" t="s">
        <v>2298</v>
      </c>
      <c r="F30" t="s">
        <v>2325</v>
      </c>
    </row>
    <row r="31" spans="1:6" x14ac:dyDescent="0.25">
      <c r="A31" t="s">
        <v>2387</v>
      </c>
      <c r="B31">
        <v>1211000004</v>
      </c>
      <c r="D31" t="s">
        <v>2298</v>
      </c>
      <c r="F31" t="s">
        <v>2326</v>
      </c>
    </row>
    <row r="32" spans="1:6" x14ac:dyDescent="0.25">
      <c r="A32" t="s">
        <v>2388</v>
      </c>
      <c r="B32">
        <v>1211000004</v>
      </c>
      <c r="D32" t="s">
        <v>2298</v>
      </c>
      <c r="F32" t="s">
        <v>2327</v>
      </c>
    </row>
    <row r="33" spans="1:6" x14ac:dyDescent="0.25">
      <c r="A33" t="s">
        <v>2389</v>
      </c>
      <c r="B33">
        <v>1211000001</v>
      </c>
      <c r="D33" t="s">
        <v>2298</v>
      </c>
      <c r="F33" t="s">
        <v>2328</v>
      </c>
    </row>
    <row r="34" spans="1:6" x14ac:dyDescent="0.25">
      <c r="A34" t="s">
        <v>2390</v>
      </c>
      <c r="B34">
        <v>1211000002</v>
      </c>
      <c r="D34" t="s">
        <v>2298</v>
      </c>
      <c r="F34" t="s">
        <v>2329</v>
      </c>
    </row>
    <row r="35" spans="1:6" x14ac:dyDescent="0.25">
      <c r="A35" t="s">
        <v>2391</v>
      </c>
      <c r="B35">
        <v>1211000003</v>
      </c>
      <c r="D35" t="s">
        <v>2298</v>
      </c>
      <c r="F35" t="s">
        <v>2330</v>
      </c>
    </row>
    <row r="36" spans="1:6" x14ac:dyDescent="0.25">
      <c r="A36" t="s">
        <v>2392</v>
      </c>
      <c r="B36">
        <v>3409700007</v>
      </c>
      <c r="C36" t="s">
        <v>2298</v>
      </c>
      <c r="E36">
        <v>5110001384</v>
      </c>
      <c r="F36" t="s">
        <v>2331</v>
      </c>
    </row>
    <row r="37" spans="1:6" x14ac:dyDescent="0.25">
      <c r="A37" t="s">
        <v>2393</v>
      </c>
      <c r="B37">
        <v>3409700007</v>
      </c>
      <c r="C37" t="s">
        <v>2298</v>
      </c>
      <c r="E37">
        <v>5110001381</v>
      </c>
      <c r="F37" t="s">
        <v>2332</v>
      </c>
    </row>
    <row r="38" spans="1:6" x14ac:dyDescent="0.25">
      <c r="A38" t="s">
        <v>2394</v>
      </c>
      <c r="B38">
        <v>3409700007</v>
      </c>
      <c r="C38" t="s">
        <v>2298</v>
      </c>
      <c r="E38">
        <v>5110001382</v>
      </c>
      <c r="F38" t="s">
        <v>2333</v>
      </c>
    </row>
    <row r="39" spans="1:6" x14ac:dyDescent="0.25">
      <c r="A39" t="s">
        <v>2395</v>
      </c>
      <c r="B39">
        <v>3409700007</v>
      </c>
      <c r="C39" t="s">
        <v>2298</v>
      </c>
      <c r="E39">
        <v>5110001383</v>
      </c>
      <c r="F39" t="s">
        <v>2334</v>
      </c>
    </row>
    <row r="40" spans="1:6" x14ac:dyDescent="0.25">
      <c r="A40" t="s">
        <v>2396</v>
      </c>
      <c r="B40">
        <v>3409700007</v>
      </c>
      <c r="C40" t="s">
        <v>2298</v>
      </c>
      <c r="E40">
        <v>5110001384</v>
      </c>
      <c r="F40" t="s">
        <v>2335</v>
      </c>
    </row>
    <row r="41" spans="1:6" x14ac:dyDescent="0.25">
      <c r="A41" t="s">
        <v>2397</v>
      </c>
      <c r="B41">
        <v>3409700007</v>
      </c>
      <c r="C41" t="s">
        <v>2298</v>
      </c>
      <c r="E41">
        <v>5110001384</v>
      </c>
      <c r="F41" t="s">
        <v>2336</v>
      </c>
    </row>
    <row r="42" spans="1:6" x14ac:dyDescent="0.25">
      <c r="A42" t="s">
        <v>2398</v>
      </c>
      <c r="B42">
        <v>3409700007</v>
      </c>
      <c r="C42" t="s">
        <v>2298</v>
      </c>
      <c r="E42">
        <v>5110001384</v>
      </c>
      <c r="F42" t="s">
        <v>2337</v>
      </c>
    </row>
    <row r="43" spans="1:6" x14ac:dyDescent="0.25">
      <c r="A43" t="s">
        <v>2399</v>
      </c>
      <c r="B43">
        <v>3409700007</v>
      </c>
      <c r="C43" t="s">
        <v>2298</v>
      </c>
      <c r="E43">
        <v>5110001381</v>
      </c>
      <c r="F43" t="s">
        <v>2338</v>
      </c>
    </row>
    <row r="44" spans="1:6" x14ac:dyDescent="0.25">
      <c r="A44" t="s">
        <v>2400</v>
      </c>
      <c r="B44">
        <v>3409700007</v>
      </c>
      <c r="C44" t="s">
        <v>2298</v>
      </c>
      <c r="E44">
        <v>5110001382</v>
      </c>
      <c r="F44" t="s">
        <v>2339</v>
      </c>
    </row>
    <row r="45" spans="1:6" x14ac:dyDescent="0.25">
      <c r="A45" t="s">
        <v>2401</v>
      </c>
      <c r="B45">
        <v>3409700007</v>
      </c>
      <c r="C45" t="s">
        <v>2298</v>
      </c>
      <c r="E45">
        <v>5110001383</v>
      </c>
      <c r="F45" t="s">
        <v>2340</v>
      </c>
    </row>
    <row r="46" spans="1:6" x14ac:dyDescent="0.25">
      <c r="A46" t="s">
        <v>2402</v>
      </c>
      <c r="B46">
        <v>3409700007</v>
      </c>
      <c r="C46" t="s">
        <v>2298</v>
      </c>
      <c r="E46">
        <v>5110001384</v>
      </c>
      <c r="F46" t="s">
        <v>2341</v>
      </c>
    </row>
    <row r="47" spans="1:6" x14ac:dyDescent="0.25">
      <c r="A47" t="s">
        <v>2403</v>
      </c>
      <c r="B47">
        <v>3409700007</v>
      </c>
      <c r="C47" t="s">
        <v>2298</v>
      </c>
      <c r="E47">
        <v>5110001384</v>
      </c>
      <c r="F47" t="s">
        <v>2342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&amp;C&amp;1#&amp;"Calibri"&amp;10&amp;K000000Pública</oddFooter>
  </headerFooter>
  <tableParts count="4">
    <tablePart r:id="rId2"/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68BC04-BBC0-4886-8ED1-7A5FE0DE6AFE}">
  <sheetPr codeName="Planilha1"/>
  <dimension ref="A1:C1395"/>
  <sheetViews>
    <sheetView zoomScale="84" zoomScaleNormal="84" workbookViewId="0">
      <selection activeCell="C1158" sqref="C1158"/>
    </sheetView>
  </sheetViews>
  <sheetFormatPr defaultColWidth="9.140625" defaultRowHeight="15" x14ac:dyDescent="0.25"/>
  <cols>
    <col min="1" max="1" width="21.28515625" style="10" customWidth="1"/>
    <col min="2" max="2" width="41.5703125" style="6" customWidth="1"/>
    <col min="3" max="3" width="13.140625" style="4" customWidth="1"/>
    <col min="4" max="16384" width="9.140625" style="4"/>
  </cols>
  <sheetData>
    <row r="1" spans="1:3" x14ac:dyDescent="0.25">
      <c r="A1" s="1" t="s">
        <v>22</v>
      </c>
      <c r="B1" s="2" t="s">
        <v>23</v>
      </c>
      <c r="C1" s="3" t="s">
        <v>24</v>
      </c>
    </row>
    <row r="2" spans="1:3" ht="15.75" x14ac:dyDescent="0.25">
      <c r="A2" s="5" t="s">
        <v>540</v>
      </c>
      <c r="B2" s="6" t="s">
        <v>541</v>
      </c>
      <c r="C2" s="4">
        <v>10078752</v>
      </c>
    </row>
    <row r="3" spans="1:3" ht="15.75" x14ac:dyDescent="0.25">
      <c r="A3" s="7" t="s">
        <v>551</v>
      </c>
      <c r="B3" s="6" t="s">
        <v>541</v>
      </c>
      <c r="C3" s="4">
        <v>10080393</v>
      </c>
    </row>
    <row r="4" spans="1:3" ht="15.75" x14ac:dyDescent="0.25">
      <c r="A4" s="7" t="s">
        <v>916</v>
      </c>
      <c r="B4" s="6" t="s">
        <v>917</v>
      </c>
      <c r="C4" s="4">
        <v>10015611</v>
      </c>
    </row>
    <row r="5" spans="1:3" ht="15.75" x14ac:dyDescent="0.25">
      <c r="A5" s="7" t="s">
        <v>769</v>
      </c>
      <c r="B5" s="6" t="s">
        <v>770</v>
      </c>
      <c r="C5" s="4">
        <v>10030588</v>
      </c>
    </row>
    <row r="6" spans="1:3" ht="15.75" x14ac:dyDescent="0.25">
      <c r="A6" s="7" t="s">
        <v>1878</v>
      </c>
      <c r="B6" s="6" t="s">
        <v>1879</v>
      </c>
      <c r="C6" s="4">
        <v>10034388</v>
      </c>
    </row>
    <row r="7" spans="1:3" ht="15.75" x14ac:dyDescent="0.25">
      <c r="A7" s="7" t="s">
        <v>1888</v>
      </c>
      <c r="B7" s="6" t="s">
        <v>1881</v>
      </c>
      <c r="C7" s="4">
        <v>10083736</v>
      </c>
    </row>
    <row r="8" spans="1:3" ht="15.75" x14ac:dyDescent="0.25">
      <c r="A8" s="7" t="s">
        <v>1884</v>
      </c>
      <c r="B8" s="6" t="s">
        <v>1881</v>
      </c>
      <c r="C8" s="4">
        <v>10085584</v>
      </c>
    </row>
    <row r="9" spans="1:3" ht="15.75" x14ac:dyDescent="0.25">
      <c r="A9" s="7" t="s">
        <v>1887</v>
      </c>
      <c r="B9" s="6" t="s">
        <v>1881</v>
      </c>
      <c r="C9" s="4">
        <v>10087303</v>
      </c>
    </row>
    <row r="10" spans="1:3" ht="15.75" x14ac:dyDescent="0.25">
      <c r="A10" s="7" t="s">
        <v>1880</v>
      </c>
      <c r="B10" s="6" t="s">
        <v>1881</v>
      </c>
      <c r="C10" s="4">
        <v>10089774</v>
      </c>
    </row>
    <row r="11" spans="1:3" ht="15.75" x14ac:dyDescent="0.25">
      <c r="A11" s="7" t="s">
        <v>1883</v>
      </c>
      <c r="B11" s="6" t="s">
        <v>1881</v>
      </c>
      <c r="C11" s="4">
        <v>10090167</v>
      </c>
    </row>
    <row r="12" spans="1:3" ht="15.75" x14ac:dyDescent="0.25">
      <c r="A12" s="7" t="s">
        <v>1886</v>
      </c>
      <c r="B12" s="6" t="s">
        <v>1881</v>
      </c>
      <c r="C12" s="4">
        <v>10096390</v>
      </c>
    </row>
    <row r="13" spans="1:3" ht="15.75" x14ac:dyDescent="0.25">
      <c r="A13" s="7" t="s">
        <v>1885</v>
      </c>
      <c r="B13" s="6" t="s">
        <v>1881</v>
      </c>
      <c r="C13" s="4">
        <v>10102830</v>
      </c>
    </row>
    <row r="14" spans="1:3" ht="15.75" x14ac:dyDescent="0.25">
      <c r="A14" s="7" t="s">
        <v>1882</v>
      </c>
      <c r="B14" s="6" t="s">
        <v>1881</v>
      </c>
      <c r="C14" s="4">
        <v>10102935</v>
      </c>
    </row>
    <row r="15" spans="1:3" ht="15.75" x14ac:dyDescent="0.25">
      <c r="A15" s="7" t="s">
        <v>1889</v>
      </c>
      <c r="B15" s="6" t="s">
        <v>1890</v>
      </c>
      <c r="C15" s="4">
        <v>10031949</v>
      </c>
    </row>
    <row r="16" spans="1:3" ht="15.75" x14ac:dyDescent="0.25">
      <c r="A16" s="7" t="s">
        <v>1891</v>
      </c>
      <c r="B16" s="6" t="s">
        <v>1892</v>
      </c>
      <c r="C16" s="4">
        <v>10024254</v>
      </c>
    </row>
    <row r="17" spans="1:3" ht="15.75" x14ac:dyDescent="0.25">
      <c r="A17" s="7" t="s">
        <v>800</v>
      </c>
      <c r="B17" s="6" t="s">
        <v>801</v>
      </c>
      <c r="C17" s="4">
        <v>10032724</v>
      </c>
    </row>
    <row r="18" spans="1:3" ht="15.75" x14ac:dyDescent="0.25">
      <c r="A18" s="7" t="s">
        <v>1893</v>
      </c>
      <c r="B18" s="6" t="s">
        <v>1894</v>
      </c>
      <c r="C18" s="4">
        <v>10127196</v>
      </c>
    </row>
    <row r="19" spans="1:3" ht="15.75" x14ac:dyDescent="0.25">
      <c r="A19" s="7" t="s">
        <v>1895</v>
      </c>
      <c r="B19" s="6" t="s">
        <v>1896</v>
      </c>
      <c r="C19" s="4">
        <v>10079632</v>
      </c>
    </row>
    <row r="20" spans="1:3" ht="15.75" x14ac:dyDescent="0.25">
      <c r="A20" s="7" t="s">
        <v>1897</v>
      </c>
      <c r="B20" s="6" t="s">
        <v>1898</v>
      </c>
      <c r="C20" s="4">
        <v>10003660</v>
      </c>
    </row>
    <row r="21" spans="1:3" ht="15.75" x14ac:dyDescent="0.25">
      <c r="A21" s="7" t="s">
        <v>1899</v>
      </c>
      <c r="B21" s="6" t="s">
        <v>1900</v>
      </c>
      <c r="C21" s="4">
        <v>10118689</v>
      </c>
    </row>
    <row r="22" spans="1:3" ht="15.75" x14ac:dyDescent="0.25">
      <c r="A22" s="7" t="s">
        <v>1901</v>
      </c>
      <c r="B22" s="6" t="s">
        <v>1902</v>
      </c>
      <c r="C22" s="4">
        <v>10082785</v>
      </c>
    </row>
    <row r="23" spans="1:3" ht="15.75" x14ac:dyDescent="0.25">
      <c r="A23" s="7" t="s">
        <v>1903</v>
      </c>
      <c r="B23" s="6" t="s">
        <v>1904</v>
      </c>
      <c r="C23" s="4">
        <v>10107734</v>
      </c>
    </row>
    <row r="24" spans="1:3" ht="15.75" x14ac:dyDescent="0.25">
      <c r="A24" s="7" t="s">
        <v>1905</v>
      </c>
      <c r="B24" s="6" t="s">
        <v>1906</v>
      </c>
      <c r="C24" s="4">
        <v>10103501</v>
      </c>
    </row>
    <row r="25" spans="1:3" ht="15.75" x14ac:dyDescent="0.25">
      <c r="A25" s="7" t="s">
        <v>1907</v>
      </c>
      <c r="B25" s="6" t="s">
        <v>1908</v>
      </c>
      <c r="C25" s="4">
        <v>10094141</v>
      </c>
    </row>
    <row r="26" spans="1:3" ht="15.75" x14ac:dyDescent="0.25">
      <c r="A26" s="7" t="s">
        <v>1909</v>
      </c>
      <c r="B26" s="6" t="s">
        <v>1910</v>
      </c>
      <c r="C26" s="4">
        <v>10106619</v>
      </c>
    </row>
    <row r="27" spans="1:3" ht="15.75" x14ac:dyDescent="0.25">
      <c r="A27" s="7" t="s">
        <v>1911</v>
      </c>
      <c r="B27" s="6" t="s">
        <v>1912</v>
      </c>
      <c r="C27" s="4">
        <v>10096111</v>
      </c>
    </row>
    <row r="28" spans="1:3" ht="15.75" x14ac:dyDescent="0.25">
      <c r="A28" s="7" t="s">
        <v>1913</v>
      </c>
      <c r="B28" s="6" t="s">
        <v>1914</v>
      </c>
      <c r="C28" s="4">
        <v>10123535</v>
      </c>
    </row>
    <row r="29" spans="1:3" ht="15.75" x14ac:dyDescent="0.25">
      <c r="A29" s="7" t="s">
        <v>1915</v>
      </c>
      <c r="B29" s="6" t="s">
        <v>1916</v>
      </c>
      <c r="C29" s="4">
        <v>10081462</v>
      </c>
    </row>
    <row r="30" spans="1:3" ht="15.75" x14ac:dyDescent="0.25">
      <c r="A30" s="7" t="s">
        <v>1917</v>
      </c>
      <c r="B30" s="6" t="s">
        <v>1918</v>
      </c>
      <c r="C30" s="4">
        <v>10039466</v>
      </c>
    </row>
    <row r="31" spans="1:3" ht="15.75" x14ac:dyDescent="0.25">
      <c r="A31" s="7" t="s">
        <v>1919</v>
      </c>
      <c r="B31" s="6" t="s">
        <v>1920</v>
      </c>
      <c r="C31" s="4">
        <v>10080153</v>
      </c>
    </row>
    <row r="32" spans="1:3" ht="15.75" x14ac:dyDescent="0.25">
      <c r="A32" s="7" t="s">
        <v>1921</v>
      </c>
      <c r="B32" s="6" t="s">
        <v>1922</v>
      </c>
      <c r="C32" s="4">
        <v>10090511</v>
      </c>
    </row>
    <row r="33" spans="1:3" ht="15.75" x14ac:dyDescent="0.25">
      <c r="A33" s="7" t="s">
        <v>1923</v>
      </c>
      <c r="B33" s="6" t="s">
        <v>1924</v>
      </c>
      <c r="C33" s="4">
        <v>10100823</v>
      </c>
    </row>
    <row r="34" spans="1:3" ht="15.75" x14ac:dyDescent="0.25">
      <c r="A34" s="7" t="s">
        <v>1925</v>
      </c>
      <c r="B34" s="6" t="s">
        <v>1926</v>
      </c>
      <c r="C34" s="4">
        <v>10135438</v>
      </c>
    </row>
    <row r="35" spans="1:3" ht="15.75" x14ac:dyDescent="0.25">
      <c r="A35" s="7" t="s">
        <v>1927</v>
      </c>
      <c r="B35" s="6" t="s">
        <v>1928</v>
      </c>
      <c r="C35" s="4">
        <v>10084374</v>
      </c>
    </row>
    <row r="36" spans="1:3" ht="15.75" x14ac:dyDescent="0.25">
      <c r="A36" s="7" t="s">
        <v>1871</v>
      </c>
      <c r="B36" s="6" t="s">
        <v>1929</v>
      </c>
      <c r="C36" s="4">
        <v>10083941</v>
      </c>
    </row>
    <row r="37" spans="1:3" ht="15.75" x14ac:dyDescent="0.25">
      <c r="A37" s="7" t="s">
        <v>851</v>
      </c>
      <c r="B37" s="6" t="s">
        <v>852</v>
      </c>
      <c r="C37" s="4">
        <v>10047866</v>
      </c>
    </row>
    <row r="38" spans="1:3" ht="15.75" x14ac:dyDescent="0.25">
      <c r="A38" s="7" t="s">
        <v>1930</v>
      </c>
      <c r="B38" s="6" t="s">
        <v>1931</v>
      </c>
      <c r="C38" s="4">
        <v>10083943</v>
      </c>
    </row>
    <row r="39" spans="1:3" ht="15.75" x14ac:dyDescent="0.25">
      <c r="A39" s="7" t="s">
        <v>1932</v>
      </c>
      <c r="B39" s="6" t="s">
        <v>1933</v>
      </c>
      <c r="C39" s="4">
        <v>10095760</v>
      </c>
    </row>
    <row r="40" spans="1:3" ht="15.75" x14ac:dyDescent="0.25">
      <c r="A40" s="7" t="s">
        <v>1934</v>
      </c>
      <c r="B40" s="6" t="s">
        <v>1935</v>
      </c>
      <c r="C40" s="4">
        <v>10083942</v>
      </c>
    </row>
    <row r="41" spans="1:3" ht="15.75" x14ac:dyDescent="0.25">
      <c r="A41" s="7" t="s">
        <v>901</v>
      </c>
      <c r="B41" s="6" t="s">
        <v>902</v>
      </c>
      <c r="C41" s="4">
        <v>10091290</v>
      </c>
    </row>
    <row r="42" spans="1:3" ht="15.75" x14ac:dyDescent="0.25">
      <c r="A42" s="7" t="s">
        <v>1936</v>
      </c>
      <c r="B42" s="6" t="s">
        <v>1937</v>
      </c>
      <c r="C42" s="4">
        <v>10079489</v>
      </c>
    </row>
    <row r="43" spans="1:3" ht="15.75" x14ac:dyDescent="0.25">
      <c r="A43" s="7" t="s">
        <v>1938</v>
      </c>
      <c r="B43" s="6" t="s">
        <v>1939</v>
      </c>
      <c r="C43" s="4">
        <v>10005175</v>
      </c>
    </row>
    <row r="44" spans="1:3" ht="15.75" x14ac:dyDescent="0.25">
      <c r="A44" s="7" t="s">
        <v>1940</v>
      </c>
      <c r="B44" s="6" t="s">
        <v>1941</v>
      </c>
      <c r="C44" s="4">
        <v>10087468</v>
      </c>
    </row>
    <row r="45" spans="1:3" ht="15.75" x14ac:dyDescent="0.25">
      <c r="A45" s="7" t="s">
        <v>309</v>
      </c>
      <c r="B45" s="6" t="s">
        <v>310</v>
      </c>
      <c r="C45" s="4">
        <v>10123834</v>
      </c>
    </row>
    <row r="46" spans="1:3" ht="15.75" x14ac:dyDescent="0.25">
      <c r="A46" s="7" t="s">
        <v>445</v>
      </c>
      <c r="B46" s="6" t="s">
        <v>446</v>
      </c>
      <c r="C46" s="4">
        <v>10010847</v>
      </c>
    </row>
    <row r="47" spans="1:3" ht="15.75" x14ac:dyDescent="0.25">
      <c r="A47" s="7" t="s">
        <v>892</v>
      </c>
      <c r="B47" s="6" t="s">
        <v>893</v>
      </c>
      <c r="C47" s="4">
        <v>10036541</v>
      </c>
    </row>
    <row r="48" spans="1:3" ht="15.75" x14ac:dyDescent="0.25">
      <c r="A48" s="7" t="s">
        <v>899</v>
      </c>
      <c r="B48" s="6" t="s">
        <v>900</v>
      </c>
      <c r="C48" s="4">
        <v>10086977</v>
      </c>
    </row>
    <row r="49" spans="1:3" ht="15.75" x14ac:dyDescent="0.25">
      <c r="A49" s="7" t="s">
        <v>1942</v>
      </c>
      <c r="B49" s="6" t="s">
        <v>1943</v>
      </c>
      <c r="C49" s="4">
        <v>10087249</v>
      </c>
    </row>
    <row r="50" spans="1:3" ht="15.75" x14ac:dyDescent="0.25">
      <c r="A50" s="7" t="s">
        <v>1946</v>
      </c>
      <c r="B50" s="6" t="s">
        <v>1945</v>
      </c>
      <c r="C50" s="4">
        <v>10029142</v>
      </c>
    </row>
    <row r="51" spans="1:3" ht="15.75" x14ac:dyDescent="0.25">
      <c r="A51" s="7" t="s">
        <v>1948</v>
      </c>
      <c r="B51" s="6" t="s">
        <v>1945</v>
      </c>
      <c r="C51" s="4">
        <v>10084281</v>
      </c>
    </row>
    <row r="52" spans="1:3" ht="15.75" x14ac:dyDescent="0.25">
      <c r="A52" s="7" t="s">
        <v>1947</v>
      </c>
      <c r="B52" s="6" t="s">
        <v>1945</v>
      </c>
      <c r="C52" s="4">
        <v>10084375</v>
      </c>
    </row>
    <row r="53" spans="1:3" ht="15.75" x14ac:dyDescent="0.25">
      <c r="A53" s="7" t="s">
        <v>1949</v>
      </c>
      <c r="B53" s="6" t="s">
        <v>1945</v>
      </c>
      <c r="C53" s="4">
        <v>10087889</v>
      </c>
    </row>
    <row r="54" spans="1:3" ht="15.75" x14ac:dyDescent="0.25">
      <c r="A54" s="7" t="s">
        <v>1944</v>
      </c>
      <c r="B54" s="6" t="s">
        <v>1945</v>
      </c>
      <c r="C54" s="4">
        <v>10098843</v>
      </c>
    </row>
    <row r="55" spans="1:3" ht="15.75" x14ac:dyDescent="0.25">
      <c r="A55" s="7" t="s">
        <v>1950</v>
      </c>
      <c r="B55" s="6" t="s">
        <v>1951</v>
      </c>
      <c r="C55" s="4">
        <v>10043159</v>
      </c>
    </row>
    <row r="56" spans="1:3" ht="15.75" x14ac:dyDescent="0.25">
      <c r="A56" s="7" t="s">
        <v>1954</v>
      </c>
      <c r="B56" s="6" t="s">
        <v>1953</v>
      </c>
      <c r="C56" s="4">
        <v>10028079</v>
      </c>
    </row>
    <row r="57" spans="1:3" ht="15.75" x14ac:dyDescent="0.25">
      <c r="A57" s="7" t="s">
        <v>1955</v>
      </c>
      <c r="B57" s="6" t="s">
        <v>1953</v>
      </c>
      <c r="C57" s="4">
        <v>10042025</v>
      </c>
    </row>
    <row r="58" spans="1:3" ht="15.75" x14ac:dyDescent="0.25">
      <c r="A58" s="7" t="s">
        <v>1952</v>
      </c>
      <c r="B58" s="6" t="s">
        <v>1953</v>
      </c>
      <c r="C58" s="4">
        <v>10096010</v>
      </c>
    </row>
    <row r="59" spans="1:3" ht="15.75" x14ac:dyDescent="0.25">
      <c r="A59" s="7" t="s">
        <v>1956</v>
      </c>
      <c r="B59" s="6" t="s">
        <v>1957</v>
      </c>
      <c r="C59" s="4">
        <v>10029452</v>
      </c>
    </row>
    <row r="60" spans="1:3" ht="15.75" x14ac:dyDescent="0.25">
      <c r="A60" s="7" t="s">
        <v>1958</v>
      </c>
      <c r="B60" s="6" t="s">
        <v>1959</v>
      </c>
      <c r="C60" s="4">
        <v>10031132</v>
      </c>
    </row>
    <row r="61" spans="1:3" ht="15.75" x14ac:dyDescent="0.25">
      <c r="A61" s="7" t="s">
        <v>1960</v>
      </c>
      <c r="B61" s="6" t="s">
        <v>1961</v>
      </c>
      <c r="C61" s="4">
        <v>10079633</v>
      </c>
    </row>
    <row r="62" spans="1:3" ht="15.75" x14ac:dyDescent="0.25">
      <c r="A62" s="7" t="s">
        <v>1962</v>
      </c>
      <c r="B62" s="6" t="s">
        <v>1963</v>
      </c>
      <c r="C62" s="4">
        <v>10020714</v>
      </c>
    </row>
    <row r="63" spans="1:3" ht="15.75" x14ac:dyDescent="0.25">
      <c r="A63" s="7" t="s">
        <v>1135</v>
      </c>
      <c r="B63" s="6" t="s">
        <v>1136</v>
      </c>
      <c r="C63" s="4">
        <v>10016070</v>
      </c>
    </row>
    <row r="64" spans="1:3" ht="15.75" x14ac:dyDescent="0.25">
      <c r="A64" s="7" t="s">
        <v>920</v>
      </c>
      <c r="B64" s="6" t="s">
        <v>856</v>
      </c>
      <c r="C64" s="4">
        <v>10003661</v>
      </c>
    </row>
    <row r="65" spans="1:3" ht="15.75" x14ac:dyDescent="0.25">
      <c r="A65" s="7" t="s">
        <v>855</v>
      </c>
      <c r="B65" s="6" t="s">
        <v>856</v>
      </c>
      <c r="C65" s="4">
        <v>10091103</v>
      </c>
    </row>
    <row r="66" spans="1:3" ht="15.75" x14ac:dyDescent="0.25">
      <c r="A66" s="7" t="s">
        <v>1964</v>
      </c>
      <c r="B66" s="6" t="s">
        <v>1965</v>
      </c>
      <c r="C66" s="4">
        <v>10018725</v>
      </c>
    </row>
    <row r="67" spans="1:3" ht="15.75" x14ac:dyDescent="0.25">
      <c r="A67" s="7" t="s">
        <v>583</v>
      </c>
      <c r="B67" s="6" t="s">
        <v>584</v>
      </c>
      <c r="C67" s="4">
        <v>10085599</v>
      </c>
    </row>
    <row r="68" spans="1:3" ht="15.75" x14ac:dyDescent="0.25">
      <c r="A68" s="7" t="s">
        <v>1966</v>
      </c>
      <c r="B68" s="6" t="s">
        <v>1967</v>
      </c>
      <c r="C68" s="4">
        <v>10134227</v>
      </c>
    </row>
    <row r="69" spans="1:3" ht="15.75" x14ac:dyDescent="0.25">
      <c r="A69" s="7" t="s">
        <v>1968</v>
      </c>
      <c r="B69" s="6" t="s">
        <v>1969</v>
      </c>
      <c r="C69" s="4">
        <v>10089758</v>
      </c>
    </row>
    <row r="70" spans="1:3" ht="15.75" x14ac:dyDescent="0.25">
      <c r="A70" s="7" t="s">
        <v>1970</v>
      </c>
      <c r="B70" s="6" t="s">
        <v>1971</v>
      </c>
      <c r="C70" s="4">
        <v>10026100</v>
      </c>
    </row>
    <row r="71" spans="1:3" ht="15.75" x14ac:dyDescent="0.25">
      <c r="A71" s="7" t="s">
        <v>1972</v>
      </c>
      <c r="B71" s="6" t="s">
        <v>1973</v>
      </c>
      <c r="C71" s="4">
        <v>10095534</v>
      </c>
    </row>
    <row r="72" spans="1:3" ht="15.75" x14ac:dyDescent="0.25">
      <c r="A72" s="7" t="s">
        <v>1974</v>
      </c>
      <c r="B72" s="6" t="s">
        <v>1975</v>
      </c>
      <c r="C72" s="4">
        <v>10010313</v>
      </c>
    </row>
    <row r="73" spans="1:3" ht="15.75" x14ac:dyDescent="0.25">
      <c r="A73" s="7" t="s">
        <v>669</v>
      </c>
      <c r="B73" s="6" t="s">
        <v>670</v>
      </c>
      <c r="C73" s="4">
        <v>10096011</v>
      </c>
    </row>
    <row r="74" spans="1:3" ht="15.75" x14ac:dyDescent="0.25">
      <c r="A74" s="7" t="s">
        <v>921</v>
      </c>
      <c r="B74" s="8" t="s">
        <v>922</v>
      </c>
      <c r="C74" s="4">
        <v>10087250</v>
      </c>
    </row>
    <row r="75" spans="1:3" ht="15.75" x14ac:dyDescent="0.25">
      <c r="A75" s="7" t="s">
        <v>960</v>
      </c>
      <c r="B75" s="6" t="s">
        <v>961</v>
      </c>
      <c r="C75" s="4">
        <v>10100480</v>
      </c>
    </row>
    <row r="76" spans="1:3" ht="15.75" x14ac:dyDescent="0.25">
      <c r="A76" s="7" t="s">
        <v>1976</v>
      </c>
      <c r="B76" s="9" t="s">
        <v>1977</v>
      </c>
      <c r="C76" s="4">
        <v>10085642</v>
      </c>
    </row>
    <row r="77" spans="1:3" ht="15.75" x14ac:dyDescent="0.25">
      <c r="A77" s="7" t="s">
        <v>1978</v>
      </c>
      <c r="B77" s="6" t="s">
        <v>1979</v>
      </c>
      <c r="C77" s="4">
        <v>10029458</v>
      </c>
    </row>
    <row r="78" spans="1:3" ht="15.75" x14ac:dyDescent="0.25">
      <c r="A78" s="7" t="s">
        <v>796</v>
      </c>
      <c r="B78" s="6" t="s">
        <v>797</v>
      </c>
      <c r="C78" s="4">
        <v>10032723</v>
      </c>
    </row>
    <row r="79" spans="1:3" ht="15.75" x14ac:dyDescent="0.25">
      <c r="A79" s="7" t="s">
        <v>918</v>
      </c>
      <c r="B79" s="6" t="s">
        <v>919</v>
      </c>
      <c r="C79" s="4">
        <v>10081555</v>
      </c>
    </row>
    <row r="80" spans="1:3" ht="15.75" x14ac:dyDescent="0.25">
      <c r="A80" s="7" t="s">
        <v>1980</v>
      </c>
      <c r="B80" s="6" t="s">
        <v>1981</v>
      </c>
      <c r="C80" s="4">
        <v>10120034</v>
      </c>
    </row>
    <row r="81" spans="1:3" ht="15.75" x14ac:dyDescent="0.25">
      <c r="A81" s="7" t="s">
        <v>1982</v>
      </c>
      <c r="B81" s="6" t="s">
        <v>1983</v>
      </c>
      <c r="C81" s="4">
        <v>10087692</v>
      </c>
    </row>
    <row r="82" spans="1:3" ht="15.75" x14ac:dyDescent="0.25">
      <c r="A82" s="7" t="s">
        <v>1984</v>
      </c>
      <c r="B82" s="6" t="s">
        <v>1985</v>
      </c>
      <c r="C82" s="4">
        <v>10086338</v>
      </c>
    </row>
    <row r="83" spans="1:3" ht="15.75" x14ac:dyDescent="0.25">
      <c r="A83" s="7" t="s">
        <v>1986</v>
      </c>
      <c r="B83" s="6" t="s">
        <v>1987</v>
      </c>
      <c r="C83" s="4">
        <v>10001596</v>
      </c>
    </row>
    <row r="84" spans="1:3" ht="15.75" x14ac:dyDescent="0.25">
      <c r="A84" s="7" t="s">
        <v>1988</v>
      </c>
      <c r="B84" s="6" t="s">
        <v>1989</v>
      </c>
      <c r="C84" s="4">
        <v>10138394</v>
      </c>
    </row>
    <row r="85" spans="1:3" ht="15.75" x14ac:dyDescent="0.25">
      <c r="A85" s="7" t="s">
        <v>1990</v>
      </c>
      <c r="B85" s="6" t="s">
        <v>1991</v>
      </c>
      <c r="C85" s="4">
        <v>10083940</v>
      </c>
    </row>
    <row r="86" spans="1:3" ht="15.75" x14ac:dyDescent="0.25">
      <c r="A86" s="7" t="s">
        <v>1994</v>
      </c>
      <c r="B86" s="6" t="s">
        <v>1993</v>
      </c>
      <c r="C86" s="4">
        <v>10102002</v>
      </c>
    </row>
    <row r="87" spans="1:3" ht="15.75" x14ac:dyDescent="0.25">
      <c r="A87" s="7" t="s">
        <v>1992</v>
      </c>
      <c r="B87" s="6" t="s">
        <v>1993</v>
      </c>
      <c r="C87" s="4">
        <v>10102196</v>
      </c>
    </row>
    <row r="88" spans="1:3" ht="15.75" x14ac:dyDescent="0.25">
      <c r="A88" s="7" t="s">
        <v>1995</v>
      </c>
      <c r="B88" s="6" t="s">
        <v>1996</v>
      </c>
      <c r="C88" s="4">
        <v>10006807</v>
      </c>
    </row>
    <row r="89" spans="1:3" ht="15.75" x14ac:dyDescent="0.25">
      <c r="A89" s="7" t="s">
        <v>1997</v>
      </c>
      <c r="B89" s="6" t="s">
        <v>1998</v>
      </c>
      <c r="C89" s="4">
        <v>10080680</v>
      </c>
    </row>
    <row r="90" spans="1:3" ht="15.75" x14ac:dyDescent="0.25">
      <c r="A90" s="7" t="s">
        <v>1999</v>
      </c>
      <c r="B90" s="6" t="s">
        <v>2000</v>
      </c>
      <c r="C90" s="4">
        <v>10102003</v>
      </c>
    </row>
    <row r="91" spans="1:3" ht="15.75" x14ac:dyDescent="0.25">
      <c r="A91" s="7" t="s">
        <v>2001</v>
      </c>
      <c r="B91" s="6" t="s">
        <v>2002</v>
      </c>
      <c r="C91" s="4">
        <v>10046527</v>
      </c>
    </row>
    <row r="92" spans="1:3" ht="15.75" x14ac:dyDescent="0.25">
      <c r="A92" s="7" t="s">
        <v>2003</v>
      </c>
      <c r="B92" s="6" t="s">
        <v>2004</v>
      </c>
      <c r="C92" s="4">
        <v>10085262</v>
      </c>
    </row>
    <row r="93" spans="1:3" ht="15.75" x14ac:dyDescent="0.25">
      <c r="A93" s="7" t="s">
        <v>2005</v>
      </c>
      <c r="B93" s="6" t="s">
        <v>2006</v>
      </c>
      <c r="C93" s="4">
        <v>10086935</v>
      </c>
    </row>
    <row r="94" spans="1:3" ht="15.75" x14ac:dyDescent="0.25">
      <c r="A94" s="7" t="s">
        <v>2007</v>
      </c>
      <c r="B94" s="6" t="s">
        <v>2008</v>
      </c>
      <c r="C94" s="4">
        <v>10080924</v>
      </c>
    </row>
    <row r="95" spans="1:3" ht="15.75" x14ac:dyDescent="0.25">
      <c r="A95" s="7" t="s">
        <v>1144</v>
      </c>
      <c r="B95" s="6" t="s">
        <v>1145</v>
      </c>
      <c r="C95" s="4">
        <v>10047119</v>
      </c>
    </row>
    <row r="96" spans="1:3" ht="15.75" x14ac:dyDescent="0.25">
      <c r="A96" s="7" t="s">
        <v>1146</v>
      </c>
      <c r="B96" s="6" t="s">
        <v>1147</v>
      </c>
      <c r="C96" s="4">
        <v>10047855</v>
      </c>
    </row>
    <row r="97" spans="1:3" ht="15.75" x14ac:dyDescent="0.25">
      <c r="A97" s="7" t="s">
        <v>299</v>
      </c>
      <c r="B97" s="6" t="s">
        <v>300</v>
      </c>
      <c r="C97" s="4">
        <v>10147839</v>
      </c>
    </row>
    <row r="98" spans="1:3" ht="15.75" x14ac:dyDescent="0.25">
      <c r="A98" s="7" t="s">
        <v>1148</v>
      </c>
      <c r="B98" s="6" t="s">
        <v>1149</v>
      </c>
      <c r="C98" s="4">
        <v>10055732</v>
      </c>
    </row>
    <row r="99" spans="1:3" ht="15.75" x14ac:dyDescent="0.25">
      <c r="A99" s="7" t="s">
        <v>1150</v>
      </c>
      <c r="B99" s="6" t="s">
        <v>1151</v>
      </c>
      <c r="C99" s="4">
        <v>10058651</v>
      </c>
    </row>
    <row r="100" spans="1:3" ht="15.75" x14ac:dyDescent="0.25">
      <c r="A100" s="7" t="s">
        <v>1152</v>
      </c>
      <c r="B100" s="6" t="s">
        <v>1153</v>
      </c>
      <c r="C100" s="4">
        <v>10004455</v>
      </c>
    </row>
    <row r="101" spans="1:3" ht="15.75" x14ac:dyDescent="0.25">
      <c r="A101" s="7" t="s">
        <v>581</v>
      </c>
      <c r="B101" s="6" t="s">
        <v>582</v>
      </c>
      <c r="C101" s="4">
        <v>10085571</v>
      </c>
    </row>
    <row r="102" spans="1:3" ht="15.75" x14ac:dyDescent="0.25">
      <c r="A102" s="7" t="s">
        <v>828</v>
      </c>
      <c r="B102" s="6" t="s">
        <v>829</v>
      </c>
      <c r="C102" s="4">
        <v>10139271</v>
      </c>
    </row>
    <row r="103" spans="1:3" ht="15.75" x14ac:dyDescent="0.25">
      <c r="A103" s="7" t="s">
        <v>530</v>
      </c>
      <c r="B103" s="6" t="s">
        <v>531</v>
      </c>
      <c r="C103" s="4">
        <v>10143699</v>
      </c>
    </row>
    <row r="104" spans="1:3" ht="15.75" x14ac:dyDescent="0.25">
      <c r="A104" s="7" t="s">
        <v>359</v>
      </c>
      <c r="B104" s="6" t="s">
        <v>360</v>
      </c>
      <c r="C104" s="4">
        <v>10096424</v>
      </c>
    </row>
    <row r="105" spans="1:3" ht="15.75" x14ac:dyDescent="0.25">
      <c r="A105" s="7" t="s">
        <v>2009</v>
      </c>
      <c r="B105" s="6" t="s">
        <v>2010</v>
      </c>
      <c r="C105" s="4">
        <v>10130878</v>
      </c>
    </row>
    <row r="106" spans="1:3" ht="15.75" x14ac:dyDescent="0.25">
      <c r="A106" s="7" t="s">
        <v>1154</v>
      </c>
      <c r="B106" s="6" t="s">
        <v>1155</v>
      </c>
      <c r="C106" s="4">
        <v>10090785</v>
      </c>
    </row>
    <row r="107" spans="1:3" ht="15.75" x14ac:dyDescent="0.25">
      <c r="A107" s="7" t="s">
        <v>347</v>
      </c>
      <c r="B107" s="6" t="s">
        <v>348</v>
      </c>
      <c r="C107" s="4">
        <v>10089152</v>
      </c>
    </row>
    <row r="108" spans="1:3" ht="15.75" x14ac:dyDescent="0.25">
      <c r="A108" s="7" t="s">
        <v>349</v>
      </c>
      <c r="B108" s="6" t="s">
        <v>350</v>
      </c>
      <c r="C108" s="4">
        <v>10089151</v>
      </c>
    </row>
    <row r="109" spans="1:3" ht="15.75" x14ac:dyDescent="0.25">
      <c r="A109" s="7" t="s">
        <v>1874</v>
      </c>
      <c r="B109" s="6" t="s">
        <v>1875</v>
      </c>
      <c r="C109" s="4">
        <v>10023451</v>
      </c>
    </row>
    <row r="110" spans="1:3" ht="15.75" x14ac:dyDescent="0.25">
      <c r="A110" s="7" t="s">
        <v>1876</v>
      </c>
      <c r="B110" s="6" t="s">
        <v>1877</v>
      </c>
      <c r="C110" s="4">
        <v>10027708</v>
      </c>
    </row>
    <row r="111" spans="1:3" ht="15.75" x14ac:dyDescent="0.25">
      <c r="A111" s="7" t="s">
        <v>476</v>
      </c>
      <c r="B111" s="6" t="s">
        <v>477</v>
      </c>
      <c r="C111" s="4">
        <v>10150151</v>
      </c>
    </row>
    <row r="112" spans="1:3" ht="15.75" x14ac:dyDescent="0.25">
      <c r="A112" s="7" t="s">
        <v>871</v>
      </c>
      <c r="B112" s="6" t="s">
        <v>872</v>
      </c>
      <c r="C112" s="4">
        <v>10151986</v>
      </c>
    </row>
    <row r="113" spans="1:3" ht="15.75" x14ac:dyDescent="0.25">
      <c r="A113" s="7" t="s">
        <v>343</v>
      </c>
      <c r="B113" s="6" t="s">
        <v>344</v>
      </c>
      <c r="C113" s="4">
        <v>10095741</v>
      </c>
    </row>
    <row r="114" spans="1:3" ht="15.75" x14ac:dyDescent="0.25">
      <c r="A114" s="7" t="s">
        <v>964</v>
      </c>
      <c r="B114" s="6" t="s">
        <v>965</v>
      </c>
      <c r="C114" s="4">
        <v>10125365</v>
      </c>
    </row>
    <row r="115" spans="1:3" ht="15.75" x14ac:dyDescent="0.25">
      <c r="A115" s="7" t="s">
        <v>591</v>
      </c>
      <c r="B115" s="6" t="s">
        <v>592</v>
      </c>
      <c r="C115" s="4">
        <v>10118630</v>
      </c>
    </row>
    <row r="116" spans="1:3" ht="15.75" x14ac:dyDescent="0.25">
      <c r="A116" s="7" t="s">
        <v>393</v>
      </c>
      <c r="B116" s="6" t="s">
        <v>394</v>
      </c>
      <c r="C116" s="4">
        <v>10128817</v>
      </c>
    </row>
    <row r="117" spans="1:3" ht="15.75" x14ac:dyDescent="0.25">
      <c r="A117" s="7" t="s">
        <v>2011</v>
      </c>
      <c r="B117" s="6" t="s">
        <v>2012</v>
      </c>
      <c r="C117" s="4">
        <v>10045530</v>
      </c>
    </row>
    <row r="118" spans="1:3" ht="15.75" x14ac:dyDescent="0.25">
      <c r="A118" s="7" t="s">
        <v>1156</v>
      </c>
      <c r="B118" s="6" t="s">
        <v>1157</v>
      </c>
      <c r="C118" s="4">
        <v>10052390</v>
      </c>
    </row>
    <row r="119" spans="1:3" ht="15.75" x14ac:dyDescent="0.25">
      <c r="A119" s="7" t="s">
        <v>1158</v>
      </c>
      <c r="B119" s="6" t="s">
        <v>1159</v>
      </c>
      <c r="C119" s="4">
        <v>10017888</v>
      </c>
    </row>
    <row r="120" spans="1:3" ht="15.75" x14ac:dyDescent="0.25">
      <c r="A120" s="7" t="s">
        <v>1160</v>
      </c>
      <c r="B120" s="6" t="s">
        <v>1161</v>
      </c>
      <c r="C120" s="4">
        <v>10053620</v>
      </c>
    </row>
    <row r="121" spans="1:3" ht="15.75" x14ac:dyDescent="0.25">
      <c r="A121" s="7" t="s">
        <v>1162</v>
      </c>
      <c r="B121" s="6" t="s">
        <v>1163</v>
      </c>
      <c r="C121" s="4">
        <v>10054111</v>
      </c>
    </row>
    <row r="122" spans="1:3" ht="15.75" x14ac:dyDescent="0.25">
      <c r="A122" s="7" t="s">
        <v>1164</v>
      </c>
      <c r="B122" s="6" t="s">
        <v>1165</v>
      </c>
      <c r="C122" s="4">
        <v>10130649</v>
      </c>
    </row>
    <row r="123" spans="1:3" ht="15.75" x14ac:dyDescent="0.25">
      <c r="A123" s="7" t="s">
        <v>1858</v>
      </c>
      <c r="B123" s="6" t="s">
        <v>1859</v>
      </c>
      <c r="C123" s="4">
        <v>10156889</v>
      </c>
    </row>
    <row r="124" spans="1:3" ht="15.75" x14ac:dyDescent="0.25">
      <c r="A124" s="7" t="s">
        <v>1166</v>
      </c>
      <c r="B124" s="6" t="s">
        <v>1167</v>
      </c>
      <c r="C124" s="4">
        <v>10093644</v>
      </c>
    </row>
    <row r="125" spans="1:3" ht="15.75" x14ac:dyDescent="0.25">
      <c r="A125" s="7" t="s">
        <v>1854</v>
      </c>
      <c r="B125" s="6" t="s">
        <v>1855</v>
      </c>
      <c r="C125" s="4">
        <v>10156725</v>
      </c>
    </row>
    <row r="126" spans="1:3" ht="15.75" x14ac:dyDescent="0.25">
      <c r="A126" s="7" t="s">
        <v>1168</v>
      </c>
      <c r="B126" s="6" t="s">
        <v>1169</v>
      </c>
      <c r="C126" s="4">
        <v>10134966</v>
      </c>
    </row>
    <row r="127" spans="1:3" ht="15.75" x14ac:dyDescent="0.25">
      <c r="A127" s="7" t="s">
        <v>1170</v>
      </c>
      <c r="B127" s="6" t="s">
        <v>1171</v>
      </c>
      <c r="C127" s="4">
        <v>10032033</v>
      </c>
    </row>
    <row r="128" spans="1:3" ht="15.75" x14ac:dyDescent="0.25">
      <c r="A128" s="7" t="s">
        <v>1172</v>
      </c>
      <c r="B128" s="6" t="s">
        <v>1173</v>
      </c>
      <c r="C128" s="4">
        <v>10127398</v>
      </c>
    </row>
    <row r="129" spans="1:3" ht="15.75" x14ac:dyDescent="0.25">
      <c r="A129" s="7" t="s">
        <v>1174</v>
      </c>
      <c r="B129" s="6" t="s">
        <v>1175</v>
      </c>
      <c r="C129" s="4">
        <v>10104448</v>
      </c>
    </row>
    <row r="130" spans="1:3" ht="15.75" x14ac:dyDescent="0.25">
      <c r="A130" s="7" t="s">
        <v>2013</v>
      </c>
      <c r="B130" s="6" t="s">
        <v>2014</v>
      </c>
      <c r="C130" s="4">
        <v>10080186</v>
      </c>
    </row>
    <row r="131" spans="1:3" ht="15.75" x14ac:dyDescent="0.25">
      <c r="A131" s="7" t="s">
        <v>262</v>
      </c>
      <c r="B131" s="6" t="s">
        <v>263</v>
      </c>
      <c r="C131" s="4">
        <v>10100609</v>
      </c>
    </row>
    <row r="132" spans="1:3" ht="15.75" x14ac:dyDescent="0.25">
      <c r="A132" s="7" t="s">
        <v>1176</v>
      </c>
      <c r="B132" s="6" t="s">
        <v>1177</v>
      </c>
      <c r="C132" s="4">
        <v>10141105</v>
      </c>
    </row>
    <row r="133" spans="1:3" ht="15.75" x14ac:dyDescent="0.25">
      <c r="A133" s="7" t="s">
        <v>1178</v>
      </c>
      <c r="B133" s="6" t="s">
        <v>1179</v>
      </c>
      <c r="C133" s="4">
        <v>10112314</v>
      </c>
    </row>
    <row r="134" spans="1:3" ht="15.75" x14ac:dyDescent="0.25">
      <c r="A134" s="7" t="s">
        <v>1180</v>
      </c>
      <c r="B134" s="6" t="s">
        <v>1181</v>
      </c>
      <c r="C134" s="4">
        <v>10007592</v>
      </c>
    </row>
    <row r="135" spans="1:3" ht="15.75" x14ac:dyDescent="0.25">
      <c r="A135" s="7" t="s">
        <v>1018</v>
      </c>
      <c r="B135" s="6" t="s">
        <v>1019</v>
      </c>
      <c r="C135" s="4">
        <v>10093649</v>
      </c>
    </row>
    <row r="136" spans="1:3" ht="15.75" x14ac:dyDescent="0.25">
      <c r="A136" s="7" t="s">
        <v>1182</v>
      </c>
      <c r="B136" s="6" t="s">
        <v>1183</v>
      </c>
      <c r="C136" s="4">
        <v>10058650</v>
      </c>
    </row>
    <row r="137" spans="1:3" ht="15.75" x14ac:dyDescent="0.25">
      <c r="A137" s="7" t="s">
        <v>163</v>
      </c>
      <c r="B137" s="6" t="s">
        <v>164</v>
      </c>
      <c r="C137" s="4">
        <v>10009271</v>
      </c>
    </row>
    <row r="138" spans="1:3" ht="15.75" x14ac:dyDescent="0.25">
      <c r="A138" s="7" t="s">
        <v>1184</v>
      </c>
      <c r="B138" s="6" t="s">
        <v>1185</v>
      </c>
      <c r="C138" s="4">
        <v>10137172</v>
      </c>
    </row>
    <row r="139" spans="1:3" ht="15.75" x14ac:dyDescent="0.25">
      <c r="A139" s="7" t="s">
        <v>2015</v>
      </c>
      <c r="B139" s="6" t="s">
        <v>2016</v>
      </c>
      <c r="C139" s="4">
        <v>10136486</v>
      </c>
    </row>
    <row r="140" spans="1:3" ht="15.75" x14ac:dyDescent="0.25">
      <c r="A140" s="7" t="s">
        <v>2017</v>
      </c>
      <c r="B140" s="6" t="s">
        <v>2018</v>
      </c>
      <c r="C140" s="4">
        <v>10012396</v>
      </c>
    </row>
    <row r="141" spans="1:3" ht="15.75" x14ac:dyDescent="0.25">
      <c r="A141" s="7" t="s">
        <v>2019</v>
      </c>
      <c r="B141" s="6" t="s">
        <v>2020</v>
      </c>
      <c r="C141" s="4">
        <v>10019291</v>
      </c>
    </row>
    <row r="142" spans="1:3" ht="15.75" x14ac:dyDescent="0.25">
      <c r="A142" s="7" t="s">
        <v>1186</v>
      </c>
      <c r="B142" s="6" t="s">
        <v>1187</v>
      </c>
      <c r="C142" s="4">
        <v>10102343</v>
      </c>
    </row>
    <row r="143" spans="1:3" ht="15.75" x14ac:dyDescent="0.25">
      <c r="A143" s="7" t="s">
        <v>1188</v>
      </c>
      <c r="B143" s="6" t="s">
        <v>1189</v>
      </c>
      <c r="C143" s="4">
        <v>10050637</v>
      </c>
    </row>
    <row r="144" spans="1:3" ht="15.75" x14ac:dyDescent="0.25">
      <c r="A144" s="7" t="s">
        <v>1190</v>
      </c>
      <c r="B144" s="6" t="s">
        <v>1189</v>
      </c>
      <c r="C144" s="4">
        <v>10050638</v>
      </c>
    </row>
    <row r="145" spans="1:3" ht="15.75" x14ac:dyDescent="0.25">
      <c r="A145" s="7" t="s">
        <v>1191</v>
      </c>
      <c r="B145" s="6" t="s">
        <v>1192</v>
      </c>
      <c r="C145" s="4">
        <v>10081201</v>
      </c>
    </row>
    <row r="146" spans="1:3" ht="15.75" x14ac:dyDescent="0.25">
      <c r="A146" s="7" t="s">
        <v>1193</v>
      </c>
      <c r="B146" s="6" t="s">
        <v>1194</v>
      </c>
      <c r="C146" s="4">
        <v>10001310</v>
      </c>
    </row>
    <row r="147" spans="1:3" ht="15.75" x14ac:dyDescent="0.25">
      <c r="A147" s="7" t="s">
        <v>1195</v>
      </c>
      <c r="B147" s="6" t="s">
        <v>1194</v>
      </c>
      <c r="C147" s="4">
        <v>10048227</v>
      </c>
    </row>
    <row r="148" spans="1:3" ht="15.75" x14ac:dyDescent="0.25">
      <c r="A148" s="7" t="s">
        <v>1196</v>
      </c>
      <c r="B148" s="6" t="s">
        <v>1197</v>
      </c>
      <c r="C148" s="4">
        <v>10005233</v>
      </c>
    </row>
    <row r="149" spans="1:3" ht="15.75" x14ac:dyDescent="0.25">
      <c r="A149" s="7" t="s">
        <v>1198</v>
      </c>
      <c r="B149" s="6" t="s">
        <v>1199</v>
      </c>
      <c r="C149" s="4">
        <v>10002248</v>
      </c>
    </row>
    <row r="150" spans="1:3" ht="15.75" x14ac:dyDescent="0.25">
      <c r="A150" s="7" t="s">
        <v>1200</v>
      </c>
      <c r="B150" s="6" t="s">
        <v>1201</v>
      </c>
      <c r="C150" s="4">
        <v>10017429</v>
      </c>
    </row>
    <row r="151" spans="1:3" ht="15.75" x14ac:dyDescent="0.25">
      <c r="A151" s="7" t="s">
        <v>1202</v>
      </c>
      <c r="B151" s="6" t="s">
        <v>1203</v>
      </c>
      <c r="C151" s="4">
        <v>10016009</v>
      </c>
    </row>
    <row r="152" spans="1:3" ht="15.75" x14ac:dyDescent="0.25">
      <c r="A152" s="7" t="s">
        <v>1068</v>
      </c>
      <c r="B152" s="6" t="s">
        <v>1069</v>
      </c>
      <c r="C152" s="4">
        <v>10091594</v>
      </c>
    </row>
    <row r="153" spans="1:3" ht="15.75" x14ac:dyDescent="0.25">
      <c r="A153" s="7" t="s">
        <v>1204</v>
      </c>
      <c r="B153" s="6" t="s">
        <v>1205</v>
      </c>
      <c r="C153" s="4">
        <v>10005234</v>
      </c>
    </row>
    <row r="154" spans="1:3" ht="15.75" x14ac:dyDescent="0.25">
      <c r="A154" s="7" t="s">
        <v>788</v>
      </c>
      <c r="B154" s="6" t="s">
        <v>789</v>
      </c>
      <c r="C154" s="4">
        <v>10089017</v>
      </c>
    </row>
    <row r="155" spans="1:3" ht="15.75" x14ac:dyDescent="0.25">
      <c r="A155" s="7" t="s">
        <v>385</v>
      </c>
      <c r="B155" s="6" t="s">
        <v>386</v>
      </c>
      <c r="C155" s="4">
        <v>10095073</v>
      </c>
    </row>
    <row r="156" spans="1:3" ht="15.75" x14ac:dyDescent="0.25">
      <c r="A156" s="7" t="s">
        <v>508</v>
      </c>
      <c r="B156" s="6" t="s">
        <v>509</v>
      </c>
      <c r="C156" s="4">
        <v>10011217</v>
      </c>
    </row>
    <row r="157" spans="1:3" ht="15.75" x14ac:dyDescent="0.25">
      <c r="A157" s="7" t="s">
        <v>1025</v>
      </c>
      <c r="B157" s="6" t="s">
        <v>1026</v>
      </c>
      <c r="C157" s="4">
        <v>10121317</v>
      </c>
    </row>
    <row r="158" spans="1:3" ht="15.75" x14ac:dyDescent="0.25">
      <c r="A158" s="7" t="s">
        <v>464</v>
      </c>
      <c r="B158" s="6" t="s">
        <v>465</v>
      </c>
      <c r="C158" s="4">
        <v>10037007</v>
      </c>
    </row>
    <row r="159" spans="1:3" ht="15.75" x14ac:dyDescent="0.25">
      <c r="A159" s="7" t="s">
        <v>1206</v>
      </c>
      <c r="B159" s="6" t="s">
        <v>1207</v>
      </c>
      <c r="C159" s="4">
        <v>10004173</v>
      </c>
    </row>
    <row r="160" spans="1:3" ht="15.75" x14ac:dyDescent="0.25">
      <c r="A160" s="7" t="s">
        <v>1208</v>
      </c>
      <c r="B160" s="6" t="s">
        <v>1209</v>
      </c>
      <c r="C160" s="4">
        <v>10121915</v>
      </c>
    </row>
    <row r="161" spans="1:3" ht="15.75" x14ac:dyDescent="0.25">
      <c r="A161" s="7" t="s">
        <v>1210</v>
      </c>
      <c r="B161" s="6" t="s">
        <v>1211</v>
      </c>
      <c r="C161" s="4">
        <v>10045581</v>
      </c>
    </row>
    <row r="162" spans="1:3" ht="15.75" x14ac:dyDescent="0.25">
      <c r="A162" s="7" t="s">
        <v>1212</v>
      </c>
      <c r="B162" s="6" t="s">
        <v>1213</v>
      </c>
      <c r="C162" s="4">
        <v>10099688</v>
      </c>
    </row>
    <row r="163" spans="1:3" ht="15.75" x14ac:dyDescent="0.25">
      <c r="A163" s="7" t="s">
        <v>649</v>
      </c>
      <c r="B163" s="6" t="s">
        <v>650</v>
      </c>
      <c r="C163" s="4">
        <v>10088063</v>
      </c>
    </row>
    <row r="164" spans="1:3" ht="15.75" x14ac:dyDescent="0.25">
      <c r="A164" s="7" t="s">
        <v>1214</v>
      </c>
      <c r="B164" s="6" t="s">
        <v>1215</v>
      </c>
      <c r="C164" s="4">
        <v>10008273</v>
      </c>
    </row>
    <row r="165" spans="1:3" ht="15.75" x14ac:dyDescent="0.25">
      <c r="A165" s="7" t="s">
        <v>143</v>
      </c>
      <c r="B165" s="6" t="s">
        <v>144</v>
      </c>
      <c r="C165" s="4">
        <v>10007024</v>
      </c>
    </row>
    <row r="166" spans="1:3" ht="15.75" x14ac:dyDescent="0.25">
      <c r="A166" s="7" t="s">
        <v>7</v>
      </c>
      <c r="B166" s="6" t="s">
        <v>2438</v>
      </c>
      <c r="C166" s="4">
        <v>10120844</v>
      </c>
    </row>
    <row r="167" spans="1:3" ht="15.75" x14ac:dyDescent="0.25">
      <c r="A167" s="7" t="s">
        <v>1216</v>
      </c>
      <c r="B167" s="6" t="s">
        <v>1217</v>
      </c>
      <c r="C167" s="4">
        <v>10009165</v>
      </c>
    </row>
    <row r="168" spans="1:3" ht="15.75" x14ac:dyDescent="0.25">
      <c r="A168" s="7" t="s">
        <v>1004</v>
      </c>
      <c r="B168" s="6" t="s">
        <v>1005</v>
      </c>
      <c r="C168" s="4">
        <v>10117302</v>
      </c>
    </row>
    <row r="169" spans="1:3" ht="15.75" x14ac:dyDescent="0.25">
      <c r="A169" s="7" t="s">
        <v>1056</v>
      </c>
      <c r="B169" s="6" t="s">
        <v>1057</v>
      </c>
      <c r="C169" s="4">
        <v>10106042</v>
      </c>
    </row>
    <row r="170" spans="1:3" ht="15.75" x14ac:dyDescent="0.25">
      <c r="A170" s="7" t="s">
        <v>1052</v>
      </c>
      <c r="B170" s="6" t="s">
        <v>1053</v>
      </c>
      <c r="C170" s="4">
        <v>10089426</v>
      </c>
    </row>
    <row r="171" spans="1:3" ht="15.75" x14ac:dyDescent="0.25">
      <c r="A171" s="7" t="s">
        <v>723</v>
      </c>
      <c r="B171" s="6" t="s">
        <v>724</v>
      </c>
      <c r="C171" s="4">
        <v>10148649</v>
      </c>
    </row>
    <row r="172" spans="1:3" ht="15.75" x14ac:dyDescent="0.25">
      <c r="A172" s="7" t="s">
        <v>729</v>
      </c>
      <c r="B172" s="6" t="s">
        <v>730</v>
      </c>
      <c r="C172" s="4">
        <v>10081892</v>
      </c>
    </row>
    <row r="173" spans="1:3" ht="15.75" x14ac:dyDescent="0.25">
      <c r="A173" s="7" t="s">
        <v>725</v>
      </c>
      <c r="B173" s="6" t="s">
        <v>726</v>
      </c>
      <c r="C173" s="4">
        <v>10084568</v>
      </c>
    </row>
    <row r="174" spans="1:3" ht="15.75" x14ac:dyDescent="0.25">
      <c r="A174" s="7" t="s">
        <v>727</v>
      </c>
      <c r="B174" s="6" t="s">
        <v>728</v>
      </c>
      <c r="C174" s="4">
        <v>10084567</v>
      </c>
    </row>
    <row r="175" spans="1:3" ht="15.75" x14ac:dyDescent="0.25">
      <c r="A175" s="7" t="s">
        <v>389</v>
      </c>
      <c r="B175" s="6" t="s">
        <v>390</v>
      </c>
      <c r="C175" s="4">
        <v>10143198</v>
      </c>
    </row>
    <row r="176" spans="1:3" ht="15.75" x14ac:dyDescent="0.25">
      <c r="A176" s="7" t="s">
        <v>272</v>
      </c>
      <c r="B176" s="6" t="s">
        <v>1848</v>
      </c>
      <c r="C176" s="4">
        <v>10086247</v>
      </c>
    </row>
    <row r="177" spans="1:3" ht="15.75" x14ac:dyDescent="0.25">
      <c r="A177" s="7" t="s">
        <v>933</v>
      </c>
      <c r="B177" s="6" t="s">
        <v>934</v>
      </c>
      <c r="C177" s="4">
        <v>10093391</v>
      </c>
    </row>
    <row r="178" spans="1:3" ht="15.75" x14ac:dyDescent="0.25">
      <c r="A178" s="7" t="s">
        <v>443</v>
      </c>
      <c r="B178" s="6" t="s">
        <v>444</v>
      </c>
      <c r="C178" s="4">
        <v>10032910</v>
      </c>
    </row>
    <row r="179" spans="1:3" ht="15.75" x14ac:dyDescent="0.25">
      <c r="A179" s="7" t="s">
        <v>691</v>
      </c>
      <c r="B179" s="6" t="s">
        <v>692</v>
      </c>
      <c r="C179" s="4">
        <v>10138621</v>
      </c>
    </row>
    <row r="180" spans="1:3" ht="15.75" x14ac:dyDescent="0.25">
      <c r="A180" s="7" t="s">
        <v>651</v>
      </c>
      <c r="B180" s="6" t="s">
        <v>652</v>
      </c>
      <c r="C180" s="4">
        <v>10024388</v>
      </c>
    </row>
    <row r="181" spans="1:3" ht="15.75" x14ac:dyDescent="0.25">
      <c r="A181" s="7" t="s">
        <v>291</v>
      </c>
      <c r="B181" s="6" t="s">
        <v>292</v>
      </c>
      <c r="C181" s="4">
        <v>10078882</v>
      </c>
    </row>
    <row r="182" spans="1:3" ht="15.75" x14ac:dyDescent="0.25">
      <c r="A182" s="7" t="s">
        <v>818</v>
      </c>
      <c r="B182" s="6" t="s">
        <v>819</v>
      </c>
      <c r="C182" s="4">
        <v>10082784</v>
      </c>
    </row>
    <row r="183" spans="1:3" ht="15.75" x14ac:dyDescent="0.25">
      <c r="A183" s="7" t="s">
        <v>355</v>
      </c>
      <c r="B183" s="6" t="s">
        <v>356</v>
      </c>
      <c r="C183" s="4">
        <v>10048504</v>
      </c>
    </row>
    <row r="184" spans="1:3" ht="15.75" x14ac:dyDescent="0.25">
      <c r="A184" s="7" t="s">
        <v>287</v>
      </c>
      <c r="B184" s="6" t="s">
        <v>288</v>
      </c>
      <c r="C184" s="4">
        <v>10006850</v>
      </c>
    </row>
    <row r="185" spans="1:3" ht="15.75" x14ac:dyDescent="0.25">
      <c r="A185" s="7" t="s">
        <v>655</v>
      </c>
      <c r="B185" s="6" t="s">
        <v>656</v>
      </c>
      <c r="C185" s="4">
        <v>10100990</v>
      </c>
    </row>
    <row r="186" spans="1:3" ht="15.75" x14ac:dyDescent="0.25">
      <c r="A186" s="7" t="s">
        <v>285</v>
      </c>
      <c r="B186" s="6" t="s">
        <v>286</v>
      </c>
      <c r="C186" s="4">
        <v>10028650</v>
      </c>
    </row>
    <row r="187" spans="1:3" ht="15.75" x14ac:dyDescent="0.25">
      <c r="A187" s="7" t="s">
        <v>681</v>
      </c>
      <c r="B187" s="6" t="s">
        <v>682</v>
      </c>
      <c r="C187" s="4">
        <v>10001214</v>
      </c>
    </row>
    <row r="188" spans="1:3" ht="15.75" x14ac:dyDescent="0.25">
      <c r="A188" s="7" t="s">
        <v>685</v>
      </c>
      <c r="B188" s="6" t="s">
        <v>686</v>
      </c>
      <c r="C188" s="4">
        <v>10025044</v>
      </c>
    </row>
    <row r="189" spans="1:3" ht="15.75" x14ac:dyDescent="0.25">
      <c r="A189" s="7" t="s">
        <v>831</v>
      </c>
      <c r="B189" s="6" t="s">
        <v>832</v>
      </c>
      <c r="C189" s="4">
        <v>10113108</v>
      </c>
    </row>
    <row r="190" spans="1:3" ht="15.75" x14ac:dyDescent="0.25">
      <c r="A190" s="7" t="s">
        <v>317</v>
      </c>
      <c r="B190" s="6" t="s">
        <v>318</v>
      </c>
      <c r="C190" s="4">
        <v>10105835</v>
      </c>
    </row>
    <row r="191" spans="1:3" ht="15.75" x14ac:dyDescent="0.25">
      <c r="A191" s="7" t="s">
        <v>709</v>
      </c>
      <c r="B191" s="6" t="s">
        <v>710</v>
      </c>
      <c r="C191" s="4">
        <v>10080981</v>
      </c>
    </row>
    <row r="192" spans="1:3" ht="15.75" x14ac:dyDescent="0.25">
      <c r="A192" s="7" t="s">
        <v>705</v>
      </c>
      <c r="B192" s="6" t="s">
        <v>706</v>
      </c>
      <c r="C192" s="4">
        <v>10001257</v>
      </c>
    </row>
    <row r="193" spans="1:3" ht="15.75" x14ac:dyDescent="0.25">
      <c r="A193" s="7" t="s">
        <v>419</v>
      </c>
      <c r="B193" s="6" t="s">
        <v>420</v>
      </c>
      <c r="C193" s="4">
        <v>10028649</v>
      </c>
    </row>
    <row r="194" spans="1:3" ht="15.75" x14ac:dyDescent="0.25">
      <c r="A194" s="7" t="s">
        <v>802</v>
      </c>
      <c r="B194" s="6" t="s">
        <v>803</v>
      </c>
      <c r="C194" s="4">
        <v>10001595</v>
      </c>
    </row>
    <row r="195" spans="1:3" ht="15.75" x14ac:dyDescent="0.25">
      <c r="A195" s="7" t="s">
        <v>687</v>
      </c>
      <c r="B195" s="6" t="s">
        <v>688</v>
      </c>
      <c r="C195" s="4">
        <v>10001217</v>
      </c>
    </row>
    <row r="196" spans="1:3" ht="15.75" x14ac:dyDescent="0.25">
      <c r="A196" s="7" t="s">
        <v>806</v>
      </c>
      <c r="B196" s="6" t="s">
        <v>807</v>
      </c>
      <c r="C196" s="4">
        <v>10022559</v>
      </c>
    </row>
    <row r="197" spans="1:3" ht="15.75" x14ac:dyDescent="0.25">
      <c r="A197" s="7" t="s">
        <v>579</v>
      </c>
      <c r="B197" s="6" t="s">
        <v>580</v>
      </c>
      <c r="C197" s="4">
        <v>10000173</v>
      </c>
    </row>
    <row r="198" spans="1:3" ht="15.75" x14ac:dyDescent="0.25">
      <c r="A198" s="7" t="s">
        <v>731</v>
      </c>
      <c r="B198" s="6" t="s">
        <v>732</v>
      </c>
      <c r="C198" s="4">
        <v>10084588</v>
      </c>
    </row>
    <row r="199" spans="1:3" ht="15.75" x14ac:dyDescent="0.25">
      <c r="A199" s="7" t="s">
        <v>956</v>
      </c>
      <c r="B199" s="6" t="s">
        <v>957</v>
      </c>
      <c r="C199" s="4">
        <v>10005182</v>
      </c>
    </row>
    <row r="200" spans="1:3" ht="15.75" x14ac:dyDescent="0.25">
      <c r="A200" s="7" t="s">
        <v>593</v>
      </c>
      <c r="B200" s="6" t="s">
        <v>594</v>
      </c>
      <c r="C200" s="4">
        <v>10089352</v>
      </c>
    </row>
    <row r="201" spans="1:3" ht="15.75" x14ac:dyDescent="0.25">
      <c r="A201" s="7" t="s">
        <v>833</v>
      </c>
      <c r="B201" s="6" t="s">
        <v>834</v>
      </c>
      <c r="C201" s="4">
        <v>10015388</v>
      </c>
    </row>
    <row r="202" spans="1:3" ht="15.75" x14ac:dyDescent="0.25">
      <c r="A202" s="7" t="s">
        <v>379</v>
      </c>
      <c r="B202" s="6" t="s">
        <v>380</v>
      </c>
      <c r="C202" s="4">
        <v>10129510</v>
      </c>
    </row>
    <row r="203" spans="1:3" ht="15.75" x14ac:dyDescent="0.25">
      <c r="A203" s="7" t="s">
        <v>415</v>
      </c>
      <c r="B203" s="6" t="s">
        <v>416</v>
      </c>
      <c r="C203" s="4">
        <v>10046647</v>
      </c>
    </row>
    <row r="204" spans="1:3" ht="15.75" x14ac:dyDescent="0.25">
      <c r="A204" s="7" t="s">
        <v>293</v>
      </c>
      <c r="B204" s="6" t="s">
        <v>294</v>
      </c>
      <c r="C204" s="4">
        <v>10106791</v>
      </c>
    </row>
    <row r="205" spans="1:3" ht="15.75" x14ac:dyDescent="0.25">
      <c r="A205" s="7" t="s">
        <v>457</v>
      </c>
      <c r="B205" s="6" t="s">
        <v>458</v>
      </c>
      <c r="C205" s="4">
        <v>10039410</v>
      </c>
    </row>
    <row r="206" spans="1:3" ht="15.75" x14ac:dyDescent="0.25">
      <c r="A206" s="7" t="s">
        <v>1062</v>
      </c>
      <c r="B206" s="6" t="s">
        <v>1063</v>
      </c>
      <c r="C206" s="4">
        <v>10025527</v>
      </c>
    </row>
    <row r="207" spans="1:3" ht="15.75" x14ac:dyDescent="0.25">
      <c r="A207" s="7" t="s">
        <v>490</v>
      </c>
      <c r="B207" s="6" t="s">
        <v>491</v>
      </c>
      <c r="C207" s="4">
        <v>10123365</v>
      </c>
    </row>
    <row r="208" spans="1:3" ht="15.75" x14ac:dyDescent="0.25">
      <c r="A208" s="7" t="s">
        <v>323</v>
      </c>
      <c r="B208" s="6" t="s">
        <v>324</v>
      </c>
      <c r="C208" s="4">
        <v>10023560</v>
      </c>
    </row>
    <row r="209" spans="1:3" ht="15.75" x14ac:dyDescent="0.25">
      <c r="A209" s="7" t="s">
        <v>381</v>
      </c>
      <c r="B209" s="6" t="s">
        <v>382</v>
      </c>
      <c r="C209" s="4">
        <v>10096194</v>
      </c>
    </row>
    <row r="210" spans="1:3" ht="15.75" x14ac:dyDescent="0.25">
      <c r="A210" s="7" t="s">
        <v>329</v>
      </c>
      <c r="B210" s="6" t="s">
        <v>330</v>
      </c>
      <c r="C210" s="4">
        <v>10100710</v>
      </c>
    </row>
    <row r="211" spans="1:3" ht="15.75" x14ac:dyDescent="0.25">
      <c r="A211" s="7" t="s">
        <v>927</v>
      </c>
      <c r="B211" s="6" t="s">
        <v>928</v>
      </c>
      <c r="C211" s="4">
        <v>10092699</v>
      </c>
    </row>
    <row r="212" spans="1:3" ht="15.75" x14ac:dyDescent="0.25">
      <c r="A212" s="7" t="s">
        <v>1086</v>
      </c>
      <c r="B212" s="6" t="s">
        <v>1087</v>
      </c>
      <c r="C212" s="4">
        <v>10088218</v>
      </c>
    </row>
    <row r="213" spans="1:3" ht="15.75" x14ac:dyDescent="0.25">
      <c r="A213" s="7" t="s">
        <v>1054</v>
      </c>
      <c r="B213" s="6" t="s">
        <v>1055</v>
      </c>
      <c r="C213" s="4">
        <v>10108929</v>
      </c>
    </row>
    <row r="214" spans="1:3" ht="15.75" x14ac:dyDescent="0.25">
      <c r="A214" s="7" t="s">
        <v>1034</v>
      </c>
      <c r="B214" s="6" t="s">
        <v>1035</v>
      </c>
      <c r="C214" s="4">
        <v>10090510</v>
      </c>
    </row>
    <row r="215" spans="1:3" ht="15.75" x14ac:dyDescent="0.25">
      <c r="A215" s="7" t="s">
        <v>403</v>
      </c>
      <c r="B215" s="6" t="s">
        <v>404</v>
      </c>
      <c r="C215" s="4">
        <v>10036502</v>
      </c>
    </row>
    <row r="216" spans="1:3" ht="15.75" x14ac:dyDescent="0.25">
      <c r="A216" s="7" t="s">
        <v>968</v>
      </c>
      <c r="B216" s="6" t="s">
        <v>969</v>
      </c>
      <c r="C216" s="4">
        <v>10045902</v>
      </c>
    </row>
    <row r="217" spans="1:3" ht="15.75" x14ac:dyDescent="0.25">
      <c r="A217" s="7" t="s">
        <v>996</v>
      </c>
      <c r="B217" s="6" t="s">
        <v>997</v>
      </c>
      <c r="C217" s="4">
        <v>10027845</v>
      </c>
    </row>
    <row r="218" spans="1:3" ht="15.75" x14ac:dyDescent="0.25">
      <c r="A218" s="7" t="s">
        <v>425</v>
      </c>
      <c r="B218" s="6" t="s">
        <v>426</v>
      </c>
      <c r="C218" s="4">
        <v>10010579</v>
      </c>
    </row>
    <row r="219" spans="1:3" ht="15.75" x14ac:dyDescent="0.25">
      <c r="A219" s="7" t="s">
        <v>941</v>
      </c>
      <c r="B219" s="6" t="s">
        <v>942</v>
      </c>
      <c r="C219" s="4">
        <v>10026408</v>
      </c>
    </row>
    <row r="220" spans="1:3" ht="15.75" x14ac:dyDescent="0.25">
      <c r="A220" s="7" t="s">
        <v>843</v>
      </c>
      <c r="B220" s="6" t="s">
        <v>844</v>
      </c>
      <c r="C220" s="4">
        <v>10136356</v>
      </c>
    </row>
    <row r="221" spans="1:3" ht="15.75" x14ac:dyDescent="0.25">
      <c r="A221" s="7" t="s">
        <v>421</v>
      </c>
      <c r="B221" s="6" t="s">
        <v>422</v>
      </c>
      <c r="C221" s="4">
        <v>10010578</v>
      </c>
    </row>
    <row r="222" spans="1:3" ht="15.75" x14ac:dyDescent="0.25">
      <c r="A222" s="7" t="s">
        <v>423</v>
      </c>
      <c r="B222" s="6" t="s">
        <v>424</v>
      </c>
      <c r="C222" s="4">
        <v>10022442</v>
      </c>
    </row>
    <row r="223" spans="1:3" ht="15.75" x14ac:dyDescent="0.25">
      <c r="A223" s="7" t="s">
        <v>429</v>
      </c>
      <c r="B223" s="6" t="s">
        <v>430</v>
      </c>
      <c r="C223" s="4">
        <v>10010583</v>
      </c>
    </row>
    <row r="224" spans="1:3" ht="15.75" x14ac:dyDescent="0.25">
      <c r="A224" s="7" t="s">
        <v>427</v>
      </c>
      <c r="B224" s="6" t="s">
        <v>428</v>
      </c>
      <c r="C224" s="4">
        <v>10034873</v>
      </c>
    </row>
    <row r="225" spans="1:3" ht="15.75" x14ac:dyDescent="0.25">
      <c r="A225" s="7" t="s">
        <v>1070</v>
      </c>
      <c r="B225" s="6" t="s">
        <v>1071</v>
      </c>
      <c r="C225" s="4">
        <v>10029970</v>
      </c>
    </row>
    <row r="226" spans="1:3" ht="15.75" x14ac:dyDescent="0.25">
      <c r="A226" s="7" t="s">
        <v>439</v>
      </c>
      <c r="B226" s="6" t="s">
        <v>440</v>
      </c>
      <c r="C226" s="4">
        <v>10123118</v>
      </c>
    </row>
    <row r="227" spans="1:3" ht="15.75" x14ac:dyDescent="0.25">
      <c r="A227" s="7" t="s">
        <v>321</v>
      </c>
      <c r="B227" s="6" t="s">
        <v>322</v>
      </c>
      <c r="C227" s="4">
        <v>10100442</v>
      </c>
    </row>
    <row r="228" spans="1:3" ht="15.75" x14ac:dyDescent="0.25">
      <c r="A228" s="7" t="s">
        <v>486</v>
      </c>
      <c r="B228" s="6" t="s">
        <v>487</v>
      </c>
      <c r="C228" s="4">
        <v>10101136</v>
      </c>
    </row>
    <row r="229" spans="1:3" ht="15.75" x14ac:dyDescent="0.25">
      <c r="A229" s="7" t="s">
        <v>519</v>
      </c>
      <c r="B229" s="6" t="s">
        <v>520</v>
      </c>
      <c r="C229" s="4">
        <v>10113500</v>
      </c>
    </row>
    <row r="230" spans="1:3" ht="15.75" x14ac:dyDescent="0.25">
      <c r="A230" s="7" t="s">
        <v>511</v>
      </c>
      <c r="B230" s="6" t="s">
        <v>512</v>
      </c>
      <c r="C230" s="4">
        <v>10090614</v>
      </c>
    </row>
    <row r="231" spans="1:3" ht="15.75" x14ac:dyDescent="0.25">
      <c r="A231" s="7" t="s">
        <v>1066</v>
      </c>
      <c r="B231" s="6" t="s">
        <v>1067</v>
      </c>
      <c r="C231" s="4">
        <v>10087190</v>
      </c>
    </row>
    <row r="232" spans="1:3" ht="15.75" x14ac:dyDescent="0.25">
      <c r="A232" s="7" t="s">
        <v>944</v>
      </c>
      <c r="B232" s="6" t="s">
        <v>945</v>
      </c>
      <c r="C232" s="4">
        <v>10091079</v>
      </c>
    </row>
    <row r="233" spans="1:3" ht="15.75" x14ac:dyDescent="0.25">
      <c r="A233" s="7" t="s">
        <v>496</v>
      </c>
      <c r="B233" s="6" t="s">
        <v>497</v>
      </c>
      <c r="C233" s="4">
        <v>10103241</v>
      </c>
    </row>
    <row r="234" spans="1:3" ht="15.75" x14ac:dyDescent="0.25">
      <c r="A234" s="7" t="s">
        <v>532</v>
      </c>
      <c r="B234" s="6" t="s">
        <v>533</v>
      </c>
      <c r="C234" s="4">
        <v>10100308</v>
      </c>
    </row>
    <row r="235" spans="1:3" ht="15.75" x14ac:dyDescent="0.25">
      <c r="A235" s="7" t="s">
        <v>277</v>
      </c>
      <c r="B235" s="6" t="s">
        <v>278</v>
      </c>
      <c r="C235" s="4">
        <v>10095714</v>
      </c>
    </row>
    <row r="236" spans="1:3" ht="15.75" x14ac:dyDescent="0.25">
      <c r="A236" s="7" t="s">
        <v>877</v>
      </c>
      <c r="B236" s="6" t="s">
        <v>878</v>
      </c>
      <c r="C236" s="4">
        <v>10083282</v>
      </c>
    </row>
    <row r="237" spans="1:3" ht="15.75" x14ac:dyDescent="0.25">
      <c r="A237" s="7" t="s">
        <v>737</v>
      </c>
      <c r="B237" s="6" t="s">
        <v>738</v>
      </c>
      <c r="C237" s="4">
        <v>10025320</v>
      </c>
    </row>
    <row r="238" spans="1:3" ht="15.75" x14ac:dyDescent="0.25">
      <c r="A238" s="7" t="s">
        <v>297</v>
      </c>
      <c r="B238" s="6" t="s">
        <v>298</v>
      </c>
      <c r="C238" s="4">
        <v>10020328</v>
      </c>
    </row>
    <row r="239" spans="1:3" ht="15.75" x14ac:dyDescent="0.25">
      <c r="A239" s="7" t="s">
        <v>573</v>
      </c>
      <c r="B239" s="6" t="s">
        <v>574</v>
      </c>
      <c r="C239" s="4">
        <v>10034739</v>
      </c>
    </row>
    <row r="240" spans="1:3" ht="15.75" x14ac:dyDescent="0.25">
      <c r="A240" s="7" t="s">
        <v>849</v>
      </c>
      <c r="B240" s="6" t="s">
        <v>850</v>
      </c>
      <c r="C240" s="4">
        <v>10033738</v>
      </c>
    </row>
    <row r="241" spans="1:3" ht="15.75" x14ac:dyDescent="0.25">
      <c r="A241" s="7" t="s">
        <v>431</v>
      </c>
      <c r="B241" s="6" t="s">
        <v>432</v>
      </c>
      <c r="C241" s="4">
        <v>10029689</v>
      </c>
    </row>
    <row r="242" spans="1:3" ht="15.75" x14ac:dyDescent="0.25">
      <c r="A242" s="7" t="s">
        <v>478</v>
      </c>
      <c r="B242" s="6" t="s">
        <v>479</v>
      </c>
      <c r="C242" s="4">
        <v>10017136</v>
      </c>
    </row>
    <row r="243" spans="1:3" ht="15.75" x14ac:dyDescent="0.25">
      <c r="A243" s="7" t="s">
        <v>544</v>
      </c>
      <c r="B243" s="6" t="s">
        <v>545</v>
      </c>
      <c r="C243" s="4">
        <v>10094745</v>
      </c>
    </row>
    <row r="244" spans="1:3" ht="15.75" x14ac:dyDescent="0.25">
      <c r="A244" s="7" t="s">
        <v>1142</v>
      </c>
      <c r="B244" s="6" t="s">
        <v>1143</v>
      </c>
      <c r="C244" s="4">
        <v>10119058</v>
      </c>
    </row>
    <row r="245" spans="1:3" ht="15.75" x14ac:dyDescent="0.25">
      <c r="A245" s="7" t="s">
        <v>331</v>
      </c>
      <c r="B245" s="6" t="s">
        <v>332</v>
      </c>
      <c r="C245" s="4">
        <v>10116701</v>
      </c>
    </row>
    <row r="246" spans="1:3" ht="15.75" x14ac:dyDescent="0.25">
      <c r="A246" s="7" t="s">
        <v>307</v>
      </c>
      <c r="B246" s="6" t="s">
        <v>308</v>
      </c>
      <c r="C246" s="4">
        <v>10018019</v>
      </c>
    </row>
    <row r="247" spans="1:3" ht="15.75" x14ac:dyDescent="0.25">
      <c r="A247" s="7" t="s">
        <v>1105</v>
      </c>
      <c r="B247" s="6" t="s">
        <v>1106</v>
      </c>
      <c r="C247" s="4">
        <v>10039745</v>
      </c>
    </row>
    <row r="248" spans="1:3" ht="15.75" x14ac:dyDescent="0.25">
      <c r="A248" s="7" t="s">
        <v>998</v>
      </c>
      <c r="B248" s="6" t="s">
        <v>999</v>
      </c>
      <c r="C248" s="4">
        <v>10022529</v>
      </c>
    </row>
    <row r="249" spans="1:3" ht="15.75" x14ac:dyDescent="0.25">
      <c r="A249" s="7" t="s">
        <v>488</v>
      </c>
      <c r="B249" s="6" t="s">
        <v>489</v>
      </c>
      <c r="C249" s="4">
        <v>10018420</v>
      </c>
    </row>
    <row r="250" spans="1:3" ht="15.75" x14ac:dyDescent="0.25">
      <c r="A250" s="7" t="s">
        <v>857</v>
      </c>
      <c r="B250" s="6" t="s">
        <v>858</v>
      </c>
      <c r="C250" s="4">
        <v>10143702</v>
      </c>
    </row>
    <row r="251" spans="1:3" ht="15.75" x14ac:dyDescent="0.25">
      <c r="A251" s="7" t="s">
        <v>869</v>
      </c>
      <c r="B251" s="6" t="s">
        <v>870</v>
      </c>
      <c r="C251" s="4">
        <v>10095789</v>
      </c>
    </row>
    <row r="252" spans="1:3" ht="15.75" x14ac:dyDescent="0.25">
      <c r="A252" s="7" t="s">
        <v>1095</v>
      </c>
      <c r="B252" s="6" t="s">
        <v>1096</v>
      </c>
      <c r="C252" s="4">
        <v>10042589</v>
      </c>
    </row>
    <row r="253" spans="1:3" ht="15.75" x14ac:dyDescent="0.25">
      <c r="A253" s="7" t="s">
        <v>935</v>
      </c>
      <c r="B253" s="6" t="s">
        <v>936</v>
      </c>
      <c r="C253" s="4">
        <v>10027396</v>
      </c>
    </row>
    <row r="254" spans="1:3" ht="15.75" x14ac:dyDescent="0.25">
      <c r="A254" s="7" t="s">
        <v>1090</v>
      </c>
      <c r="B254" s="6" t="s">
        <v>518</v>
      </c>
      <c r="C254" s="4">
        <v>10031133</v>
      </c>
    </row>
    <row r="255" spans="1:3" ht="15.75" x14ac:dyDescent="0.25">
      <c r="A255" s="7" t="s">
        <v>636</v>
      </c>
      <c r="B255" s="6" t="s">
        <v>518</v>
      </c>
      <c r="C255" s="4">
        <v>10078756</v>
      </c>
    </row>
    <row r="256" spans="1:3" ht="15.75" x14ac:dyDescent="0.25">
      <c r="A256" s="7" t="s">
        <v>521</v>
      </c>
      <c r="B256" s="6" t="s">
        <v>518</v>
      </c>
      <c r="C256" s="4">
        <v>10113118</v>
      </c>
    </row>
    <row r="257" spans="1:3" ht="15.75" x14ac:dyDescent="0.25">
      <c r="A257" s="7" t="s">
        <v>517</v>
      </c>
      <c r="B257" s="6" t="s">
        <v>518</v>
      </c>
      <c r="C257" s="4">
        <v>10117910</v>
      </c>
    </row>
    <row r="258" spans="1:3" ht="15.75" x14ac:dyDescent="0.25">
      <c r="A258" s="7" t="s">
        <v>1103</v>
      </c>
      <c r="B258" s="6" t="s">
        <v>1104</v>
      </c>
      <c r="C258" s="4">
        <v>10099399</v>
      </c>
    </row>
    <row r="259" spans="1:3" ht="15.75" x14ac:dyDescent="0.25">
      <c r="A259" s="7" t="s">
        <v>451</v>
      </c>
      <c r="B259" s="6" t="s">
        <v>452</v>
      </c>
      <c r="C259" s="4">
        <v>10078053</v>
      </c>
    </row>
    <row r="260" spans="1:3" ht="15.75" x14ac:dyDescent="0.25">
      <c r="A260" s="7" t="s">
        <v>534</v>
      </c>
      <c r="B260" s="6" t="s">
        <v>535</v>
      </c>
      <c r="C260" s="4">
        <v>10090336</v>
      </c>
    </row>
    <row r="261" spans="1:3" ht="15.75" x14ac:dyDescent="0.25">
      <c r="A261" s="7" t="s">
        <v>830</v>
      </c>
      <c r="B261" s="6" t="s">
        <v>535</v>
      </c>
      <c r="C261" s="4">
        <v>10098038</v>
      </c>
    </row>
    <row r="262" spans="1:3" ht="15.75" x14ac:dyDescent="0.25">
      <c r="A262" s="7" t="s">
        <v>1141</v>
      </c>
      <c r="B262" s="6" t="s">
        <v>456</v>
      </c>
      <c r="C262" s="4">
        <v>10039241</v>
      </c>
    </row>
    <row r="263" spans="1:3" ht="15.75" x14ac:dyDescent="0.25">
      <c r="A263" s="7" t="s">
        <v>873</v>
      </c>
      <c r="B263" s="6" t="s">
        <v>456</v>
      </c>
      <c r="C263" s="4">
        <v>10090512</v>
      </c>
    </row>
    <row r="264" spans="1:3" ht="15.75" x14ac:dyDescent="0.25">
      <c r="A264" s="7" t="s">
        <v>510</v>
      </c>
      <c r="B264" s="6" t="s">
        <v>456</v>
      </c>
      <c r="C264" s="4">
        <v>10090663</v>
      </c>
    </row>
    <row r="265" spans="1:3" ht="15.75" x14ac:dyDescent="0.25">
      <c r="A265" s="7" t="s">
        <v>866</v>
      </c>
      <c r="B265" s="6" t="s">
        <v>456</v>
      </c>
      <c r="C265" s="4">
        <v>10090664</v>
      </c>
    </row>
    <row r="266" spans="1:3" ht="15.75" x14ac:dyDescent="0.25">
      <c r="A266" s="7" t="s">
        <v>455</v>
      </c>
      <c r="B266" s="6" t="s">
        <v>456</v>
      </c>
      <c r="C266" s="4">
        <v>10090780</v>
      </c>
    </row>
    <row r="267" spans="1:3" ht="15.75" x14ac:dyDescent="0.25">
      <c r="A267" s="7" t="s">
        <v>626</v>
      </c>
      <c r="B267" s="6" t="s">
        <v>456</v>
      </c>
      <c r="C267" s="4">
        <v>10091832</v>
      </c>
    </row>
    <row r="268" spans="1:3" ht="15.75" x14ac:dyDescent="0.25">
      <c r="A268" s="7" t="s">
        <v>407</v>
      </c>
      <c r="B268" s="6" t="s">
        <v>408</v>
      </c>
      <c r="C268" s="4">
        <v>10023075</v>
      </c>
    </row>
    <row r="269" spans="1:3" ht="15.75" x14ac:dyDescent="0.25">
      <c r="A269" s="7" t="s">
        <v>943</v>
      </c>
      <c r="B269" s="6" t="s">
        <v>408</v>
      </c>
      <c r="C269" s="4">
        <v>10038287</v>
      </c>
    </row>
    <row r="270" spans="1:3" ht="15.75" x14ac:dyDescent="0.25">
      <c r="A270" s="7" t="s">
        <v>1107</v>
      </c>
      <c r="B270" s="6" t="s">
        <v>367</v>
      </c>
      <c r="C270" s="4">
        <v>10039556</v>
      </c>
    </row>
    <row r="271" spans="1:3" ht="15.75" x14ac:dyDescent="0.25">
      <c r="A271" s="7" t="s">
        <v>366</v>
      </c>
      <c r="B271" s="6" t="s">
        <v>367</v>
      </c>
      <c r="C271" s="4">
        <v>10049282</v>
      </c>
    </row>
    <row r="272" spans="1:3" ht="15.75" x14ac:dyDescent="0.25">
      <c r="A272" s="7" t="s">
        <v>672</v>
      </c>
      <c r="B272" s="6" t="s">
        <v>367</v>
      </c>
      <c r="C272" s="4">
        <v>10089236</v>
      </c>
    </row>
    <row r="273" spans="1:3" ht="15.75" x14ac:dyDescent="0.25">
      <c r="A273" s="7" t="s">
        <v>368</v>
      </c>
      <c r="B273" s="6" t="s">
        <v>367</v>
      </c>
      <c r="C273" s="4">
        <v>10094470</v>
      </c>
    </row>
    <row r="274" spans="1:3" ht="15.75" x14ac:dyDescent="0.25">
      <c r="A274" s="7" t="s">
        <v>619</v>
      </c>
      <c r="B274" s="6" t="s">
        <v>367</v>
      </c>
      <c r="C274" s="4">
        <v>10144521</v>
      </c>
    </row>
    <row r="275" spans="1:3" ht="15.75" x14ac:dyDescent="0.25">
      <c r="A275" s="7" t="s">
        <v>874</v>
      </c>
      <c r="B275" s="6" t="s">
        <v>462</v>
      </c>
      <c r="C275" s="4">
        <v>10031603</v>
      </c>
    </row>
    <row r="276" spans="1:3" ht="15.75" x14ac:dyDescent="0.25">
      <c r="A276" s="7" t="s">
        <v>463</v>
      </c>
      <c r="B276" s="6" t="s">
        <v>462</v>
      </c>
      <c r="C276" s="4">
        <v>10082410</v>
      </c>
    </row>
    <row r="277" spans="1:3" ht="15.75" x14ac:dyDescent="0.25">
      <c r="A277" s="7" t="s">
        <v>894</v>
      </c>
      <c r="B277" s="6" t="s">
        <v>462</v>
      </c>
      <c r="C277" s="4">
        <v>10086309</v>
      </c>
    </row>
    <row r="278" spans="1:3" ht="15.75" x14ac:dyDescent="0.25">
      <c r="A278" s="7" t="s">
        <v>861</v>
      </c>
      <c r="B278" s="6" t="s">
        <v>462</v>
      </c>
      <c r="C278" s="4">
        <v>10087304</v>
      </c>
    </row>
    <row r="279" spans="1:3" ht="15.75" x14ac:dyDescent="0.25">
      <c r="A279" s="7" t="s">
        <v>887</v>
      </c>
      <c r="B279" s="6" t="s">
        <v>462</v>
      </c>
      <c r="C279" s="4">
        <v>10090982</v>
      </c>
    </row>
    <row r="280" spans="1:3" ht="15.75" x14ac:dyDescent="0.25">
      <c r="A280" s="7" t="s">
        <v>461</v>
      </c>
      <c r="B280" s="6" t="s">
        <v>462</v>
      </c>
      <c r="C280" s="4">
        <v>10097067</v>
      </c>
    </row>
    <row r="281" spans="1:3" ht="15.75" x14ac:dyDescent="0.25">
      <c r="A281" s="7" t="s">
        <v>905</v>
      </c>
      <c r="B281" s="6" t="s">
        <v>462</v>
      </c>
      <c r="C281" s="4">
        <v>10107469</v>
      </c>
    </row>
    <row r="282" spans="1:3" ht="15.75" x14ac:dyDescent="0.25">
      <c r="A282" s="7" t="s">
        <v>671</v>
      </c>
      <c r="B282" s="6" t="s">
        <v>462</v>
      </c>
      <c r="C282" s="4">
        <v>10138572</v>
      </c>
    </row>
    <row r="283" spans="1:3" ht="15.75" x14ac:dyDescent="0.25">
      <c r="A283" s="7" t="s">
        <v>409</v>
      </c>
      <c r="B283" s="6" t="s">
        <v>410</v>
      </c>
      <c r="C283" s="4">
        <v>10143472</v>
      </c>
    </row>
    <row r="284" spans="1:3" ht="15.75" x14ac:dyDescent="0.25">
      <c r="A284" s="7" t="s">
        <v>562</v>
      </c>
      <c r="B284" s="6" t="s">
        <v>563</v>
      </c>
      <c r="C284" s="4">
        <v>10137815</v>
      </c>
    </row>
    <row r="285" spans="1:3" ht="15.75" x14ac:dyDescent="0.25">
      <c r="A285" s="7" t="s">
        <v>524</v>
      </c>
      <c r="B285" s="6" t="s">
        <v>525</v>
      </c>
      <c r="C285" s="4">
        <v>10124058</v>
      </c>
    </row>
    <row r="286" spans="1:3" ht="15.75" x14ac:dyDescent="0.25">
      <c r="A286" s="7" t="s">
        <v>1002</v>
      </c>
      <c r="B286" s="6" t="s">
        <v>1003</v>
      </c>
      <c r="C286" s="4">
        <v>10090977</v>
      </c>
    </row>
    <row r="287" spans="1:3" ht="15.75" x14ac:dyDescent="0.25">
      <c r="A287" s="7" t="s">
        <v>990</v>
      </c>
      <c r="B287" s="6" t="s">
        <v>991</v>
      </c>
      <c r="C287" s="4">
        <v>10090978</v>
      </c>
    </row>
    <row r="288" spans="1:3" ht="15.75" x14ac:dyDescent="0.25">
      <c r="A288" s="7" t="s">
        <v>447</v>
      </c>
      <c r="B288" s="6" t="s">
        <v>448</v>
      </c>
      <c r="C288" s="4">
        <v>10105394</v>
      </c>
    </row>
    <row r="289" spans="1:3" ht="15.75" x14ac:dyDescent="0.25">
      <c r="A289" s="7" t="s">
        <v>295</v>
      </c>
      <c r="B289" s="6" t="s">
        <v>296</v>
      </c>
      <c r="C289" s="4">
        <v>10106321</v>
      </c>
    </row>
    <row r="290" spans="1:3" ht="15.75" x14ac:dyDescent="0.25">
      <c r="A290" s="7" t="s">
        <v>883</v>
      </c>
      <c r="B290" s="6" t="s">
        <v>884</v>
      </c>
      <c r="C290" s="4">
        <v>10042086</v>
      </c>
    </row>
    <row r="291" spans="1:3" ht="15.75" x14ac:dyDescent="0.25">
      <c r="A291" s="7" t="s">
        <v>466</v>
      </c>
      <c r="B291" s="6" t="s">
        <v>467</v>
      </c>
      <c r="C291" s="4">
        <v>10028177</v>
      </c>
    </row>
    <row r="292" spans="1:3" ht="15.75" x14ac:dyDescent="0.25">
      <c r="A292" s="7" t="s">
        <v>599</v>
      </c>
      <c r="B292" s="6" t="s">
        <v>467</v>
      </c>
      <c r="C292" s="4">
        <v>10098740</v>
      </c>
    </row>
    <row r="293" spans="1:3" ht="15.75" x14ac:dyDescent="0.25">
      <c r="A293" s="7" t="s">
        <v>536</v>
      </c>
      <c r="B293" s="6" t="s">
        <v>537</v>
      </c>
      <c r="C293" s="4">
        <v>10031261</v>
      </c>
    </row>
    <row r="294" spans="1:3" ht="15.75" x14ac:dyDescent="0.25">
      <c r="A294" s="7" t="s">
        <v>303</v>
      </c>
      <c r="B294" s="6" t="s">
        <v>304</v>
      </c>
      <c r="C294" s="4">
        <v>10094841</v>
      </c>
    </row>
    <row r="295" spans="1:3" ht="15.75" x14ac:dyDescent="0.25">
      <c r="A295" s="7" t="s">
        <v>841</v>
      </c>
      <c r="B295" s="6" t="s">
        <v>842</v>
      </c>
      <c r="C295" s="4">
        <v>10112041</v>
      </c>
    </row>
    <row r="296" spans="1:3" ht="15.75" x14ac:dyDescent="0.25">
      <c r="A296" s="7" t="s">
        <v>826</v>
      </c>
      <c r="B296" s="6" t="s">
        <v>827</v>
      </c>
      <c r="C296" s="4">
        <v>10095296</v>
      </c>
    </row>
    <row r="297" spans="1:3" ht="15.75" x14ac:dyDescent="0.25">
      <c r="A297" s="7" t="s">
        <v>822</v>
      </c>
      <c r="B297" s="6" t="s">
        <v>823</v>
      </c>
      <c r="C297" s="4">
        <v>10092330</v>
      </c>
    </row>
    <row r="298" spans="1:3" ht="15.75" x14ac:dyDescent="0.25">
      <c r="A298" s="7" t="s">
        <v>600</v>
      </c>
      <c r="B298" s="6" t="s">
        <v>601</v>
      </c>
      <c r="C298" s="4">
        <v>10000466</v>
      </c>
    </row>
    <row r="299" spans="1:3" ht="15.75" x14ac:dyDescent="0.25">
      <c r="A299" s="7" t="s">
        <v>564</v>
      </c>
      <c r="B299" s="6" t="s">
        <v>565</v>
      </c>
      <c r="C299" s="4">
        <v>10130354</v>
      </c>
    </row>
    <row r="300" spans="1:3" ht="15.75" x14ac:dyDescent="0.25">
      <c r="A300" s="7" t="s">
        <v>721</v>
      </c>
      <c r="B300" s="6" t="s">
        <v>722</v>
      </c>
      <c r="C300" s="4">
        <v>10046451</v>
      </c>
    </row>
    <row r="301" spans="1:3" ht="15.75" x14ac:dyDescent="0.25">
      <c r="A301" s="7" t="s">
        <v>449</v>
      </c>
      <c r="B301" s="6" t="s">
        <v>450</v>
      </c>
      <c r="C301" s="4">
        <v>10028388</v>
      </c>
    </row>
    <row r="302" spans="1:3" ht="15.75" x14ac:dyDescent="0.25">
      <c r="A302" s="7" t="s">
        <v>548</v>
      </c>
      <c r="B302" s="6" t="s">
        <v>549</v>
      </c>
      <c r="C302" s="4">
        <v>10033915</v>
      </c>
    </row>
    <row r="303" spans="1:3" ht="15.75" x14ac:dyDescent="0.25">
      <c r="A303" s="7" t="s">
        <v>395</v>
      </c>
      <c r="B303" s="6" t="s">
        <v>396</v>
      </c>
      <c r="C303" s="4">
        <v>10036978</v>
      </c>
    </row>
    <row r="304" spans="1:3" ht="15.75" x14ac:dyDescent="0.25">
      <c r="A304" s="7" t="s">
        <v>814</v>
      </c>
      <c r="B304" s="6" t="s">
        <v>815</v>
      </c>
      <c r="C304" s="4">
        <v>10084609</v>
      </c>
    </row>
    <row r="305" spans="1:3" ht="15.75" x14ac:dyDescent="0.25">
      <c r="A305" s="7" t="s">
        <v>550</v>
      </c>
      <c r="B305" s="6" t="s">
        <v>400</v>
      </c>
      <c r="C305" s="4">
        <v>10026847</v>
      </c>
    </row>
    <row r="306" spans="1:3" ht="15.75" x14ac:dyDescent="0.25">
      <c r="A306" s="7" t="s">
        <v>399</v>
      </c>
      <c r="B306" s="6" t="s">
        <v>400</v>
      </c>
      <c r="C306" s="4">
        <v>10035525</v>
      </c>
    </row>
    <row r="307" spans="1:3" ht="15.75" x14ac:dyDescent="0.25">
      <c r="A307" s="7" t="s">
        <v>602</v>
      </c>
      <c r="B307" s="6" t="s">
        <v>400</v>
      </c>
      <c r="C307" s="4">
        <v>10036418</v>
      </c>
    </row>
    <row r="308" spans="1:3" ht="15.75" x14ac:dyDescent="0.25">
      <c r="A308" s="7" t="s">
        <v>1134</v>
      </c>
      <c r="B308" s="6" t="s">
        <v>400</v>
      </c>
      <c r="C308" s="4">
        <v>10038080</v>
      </c>
    </row>
    <row r="309" spans="1:3" ht="15.75" x14ac:dyDescent="0.25">
      <c r="A309" s="7" t="s">
        <v>931</v>
      </c>
      <c r="B309" s="6" t="s">
        <v>932</v>
      </c>
      <c r="C309" s="4">
        <v>10093870</v>
      </c>
    </row>
    <row r="310" spans="1:3" ht="15.75" x14ac:dyDescent="0.25">
      <c r="A310" s="7" t="s">
        <v>401</v>
      </c>
      <c r="B310" s="6" t="s">
        <v>402</v>
      </c>
      <c r="C310" s="4">
        <v>10023451</v>
      </c>
    </row>
    <row r="311" spans="1:3" ht="15.75" x14ac:dyDescent="0.25">
      <c r="A311" s="7" t="s">
        <v>812</v>
      </c>
      <c r="B311" s="6" t="s">
        <v>813</v>
      </c>
      <c r="C311" s="4">
        <v>10027221</v>
      </c>
    </row>
    <row r="312" spans="1:3" ht="15.75" x14ac:dyDescent="0.25">
      <c r="A312" s="7" t="s">
        <v>568</v>
      </c>
      <c r="B312" s="6" t="s">
        <v>539</v>
      </c>
      <c r="C312" s="4">
        <v>10030266</v>
      </c>
    </row>
    <row r="313" spans="1:3" ht="15.75" x14ac:dyDescent="0.25">
      <c r="A313" s="7" t="s">
        <v>538</v>
      </c>
      <c r="B313" s="6" t="s">
        <v>539</v>
      </c>
      <c r="C313" s="4">
        <v>10083119</v>
      </c>
    </row>
    <row r="314" spans="1:3" ht="15.75" x14ac:dyDescent="0.25">
      <c r="A314" s="7" t="s">
        <v>341</v>
      </c>
      <c r="B314" s="6" t="s">
        <v>342</v>
      </c>
      <c r="C314" s="4">
        <v>10039451</v>
      </c>
    </row>
    <row r="315" spans="1:3" ht="15.75" x14ac:dyDescent="0.25">
      <c r="A315" s="7" t="s">
        <v>569</v>
      </c>
      <c r="B315" s="6" t="s">
        <v>570</v>
      </c>
      <c r="C315" s="4">
        <v>10104377</v>
      </c>
    </row>
    <row r="316" spans="1:3" ht="15.75" x14ac:dyDescent="0.25">
      <c r="A316" s="7" t="s">
        <v>659</v>
      </c>
      <c r="B316" s="6" t="s">
        <v>660</v>
      </c>
      <c r="C316" s="4">
        <v>10000888</v>
      </c>
    </row>
    <row r="317" spans="1:3" ht="15.75" x14ac:dyDescent="0.25">
      <c r="A317" s="7" t="s">
        <v>683</v>
      </c>
      <c r="B317" s="6" t="s">
        <v>684</v>
      </c>
      <c r="C317" s="4">
        <v>10024430</v>
      </c>
    </row>
    <row r="318" spans="1:3" ht="15.75" x14ac:dyDescent="0.25">
      <c r="A318" s="7" t="s">
        <v>847</v>
      </c>
      <c r="B318" s="6" t="s">
        <v>848</v>
      </c>
      <c r="C318" s="4">
        <v>10098545</v>
      </c>
    </row>
    <row r="319" spans="1:3" ht="15.75" x14ac:dyDescent="0.25">
      <c r="A319" s="7" t="s">
        <v>689</v>
      </c>
      <c r="B319" s="6" t="s">
        <v>690</v>
      </c>
      <c r="C319" s="4">
        <v>10032909</v>
      </c>
    </row>
    <row r="320" spans="1:3" ht="15.75" x14ac:dyDescent="0.25">
      <c r="A320" s="7" t="s">
        <v>773</v>
      </c>
      <c r="B320" s="6" t="s">
        <v>774</v>
      </c>
      <c r="C320" s="4">
        <v>10001589</v>
      </c>
    </row>
    <row r="321" spans="1:3" ht="15.75" x14ac:dyDescent="0.25">
      <c r="A321" s="7" t="s">
        <v>413</v>
      </c>
      <c r="B321" s="6" t="s">
        <v>414</v>
      </c>
      <c r="C321" s="4">
        <v>10034735</v>
      </c>
    </row>
    <row r="322" spans="1:3" ht="15.75" x14ac:dyDescent="0.25">
      <c r="A322" s="7" t="s">
        <v>498</v>
      </c>
      <c r="B322" s="6" t="s">
        <v>499</v>
      </c>
      <c r="C322" s="4">
        <v>10103800</v>
      </c>
    </row>
    <row r="323" spans="1:3" ht="15.75" x14ac:dyDescent="0.25">
      <c r="A323" s="7" t="s">
        <v>761</v>
      </c>
      <c r="B323" s="6" t="s">
        <v>762</v>
      </c>
      <c r="C323" s="4">
        <v>10031009</v>
      </c>
    </row>
    <row r="324" spans="1:3" ht="15.75" x14ac:dyDescent="0.25">
      <c r="A324" s="7" t="s">
        <v>775</v>
      </c>
      <c r="B324" s="6" t="s">
        <v>762</v>
      </c>
      <c r="C324" s="4">
        <v>10048219</v>
      </c>
    </row>
    <row r="325" spans="1:3" ht="15.75" x14ac:dyDescent="0.25">
      <c r="A325" s="7" t="s">
        <v>542</v>
      </c>
      <c r="B325" s="6" t="s">
        <v>543</v>
      </c>
      <c r="C325" s="4">
        <v>10111509</v>
      </c>
    </row>
    <row r="326" spans="1:3" ht="15.75" x14ac:dyDescent="0.25">
      <c r="A326" s="7" t="s">
        <v>617</v>
      </c>
      <c r="B326" s="6" t="s">
        <v>618</v>
      </c>
      <c r="C326" s="4">
        <v>10103998</v>
      </c>
    </row>
    <row r="327" spans="1:3" ht="15.75" x14ac:dyDescent="0.25">
      <c r="A327" s="7" t="s">
        <v>620</v>
      </c>
      <c r="B327" s="6" t="s">
        <v>621</v>
      </c>
      <c r="C327" s="4">
        <v>10080843</v>
      </c>
    </row>
    <row r="328" spans="1:3" ht="15.75" x14ac:dyDescent="0.25">
      <c r="A328" s="7" t="s">
        <v>675</v>
      </c>
      <c r="B328" s="6" t="s">
        <v>676</v>
      </c>
      <c r="C328" s="4">
        <v>10001213</v>
      </c>
    </row>
    <row r="329" spans="1:3" ht="15.75" x14ac:dyDescent="0.25">
      <c r="A329" s="7" t="s">
        <v>657</v>
      </c>
      <c r="B329" s="6" t="s">
        <v>658</v>
      </c>
      <c r="C329" s="4">
        <v>10000887</v>
      </c>
    </row>
    <row r="330" spans="1:3" ht="15.75" x14ac:dyDescent="0.25">
      <c r="A330" s="7" t="s">
        <v>794</v>
      </c>
      <c r="B330" s="6" t="s">
        <v>795</v>
      </c>
      <c r="C330" s="4">
        <v>10039240</v>
      </c>
    </row>
    <row r="331" spans="1:3" ht="15.75" x14ac:dyDescent="0.25">
      <c r="A331" s="7" t="s">
        <v>741</v>
      </c>
      <c r="B331" s="6" t="s">
        <v>742</v>
      </c>
      <c r="C331" s="4">
        <v>10040799</v>
      </c>
    </row>
    <row r="332" spans="1:3" ht="15.75" x14ac:dyDescent="0.25">
      <c r="A332" s="7" t="s">
        <v>1101</v>
      </c>
      <c r="B332" s="6" t="s">
        <v>1102</v>
      </c>
      <c r="C332" s="4">
        <v>10092268</v>
      </c>
    </row>
    <row r="333" spans="1:3" ht="15.75" x14ac:dyDescent="0.25">
      <c r="A333" s="7" t="s">
        <v>859</v>
      </c>
      <c r="B333" s="6" t="s">
        <v>860</v>
      </c>
      <c r="C333" s="4">
        <v>10104491</v>
      </c>
    </row>
    <row r="334" spans="1:3" ht="15.75" x14ac:dyDescent="0.25">
      <c r="A334" s="7" t="s">
        <v>554</v>
      </c>
      <c r="B334" s="6" t="s">
        <v>555</v>
      </c>
      <c r="C334" s="4">
        <v>10088806</v>
      </c>
    </row>
    <row r="335" spans="1:3" ht="15.75" x14ac:dyDescent="0.25">
      <c r="A335" s="7" t="s">
        <v>631</v>
      </c>
      <c r="B335" s="6" t="s">
        <v>623</v>
      </c>
      <c r="C335" s="4">
        <v>10047172</v>
      </c>
    </row>
    <row r="336" spans="1:3" ht="15.75" x14ac:dyDescent="0.25">
      <c r="A336" s="7" t="s">
        <v>622</v>
      </c>
      <c r="B336" s="6" t="s">
        <v>623</v>
      </c>
      <c r="C336" s="4">
        <v>10089776</v>
      </c>
    </row>
    <row r="337" spans="1:3" ht="15.75" x14ac:dyDescent="0.25">
      <c r="A337" s="7" t="s">
        <v>719</v>
      </c>
      <c r="B337" s="6" t="s">
        <v>720</v>
      </c>
      <c r="C337" s="4">
        <v>10103231</v>
      </c>
    </row>
    <row r="338" spans="1:3" ht="15.75" x14ac:dyDescent="0.25">
      <c r="A338" s="7" t="s">
        <v>641</v>
      </c>
      <c r="B338" s="6" t="s">
        <v>642</v>
      </c>
      <c r="C338" s="4">
        <v>10018017</v>
      </c>
    </row>
    <row r="339" spans="1:3" ht="15.75" x14ac:dyDescent="0.25">
      <c r="A339" s="7" t="s">
        <v>627</v>
      </c>
      <c r="B339" s="6" t="s">
        <v>628</v>
      </c>
      <c r="C339" s="4">
        <v>10000814</v>
      </c>
    </row>
    <row r="340" spans="1:3" ht="15.75" x14ac:dyDescent="0.25">
      <c r="A340" s="7" t="s">
        <v>715</v>
      </c>
      <c r="B340" s="6" t="s">
        <v>716</v>
      </c>
      <c r="C340" s="4">
        <v>10046761</v>
      </c>
    </row>
    <row r="341" spans="1:3" ht="15.75" x14ac:dyDescent="0.25">
      <c r="A341" s="7" t="s">
        <v>629</v>
      </c>
      <c r="B341" s="6" t="s">
        <v>630</v>
      </c>
      <c r="C341" s="4">
        <v>10047038</v>
      </c>
    </row>
    <row r="342" spans="1:3" ht="15.75" x14ac:dyDescent="0.25">
      <c r="A342" s="7" t="s">
        <v>453</v>
      </c>
      <c r="B342" s="6" t="s">
        <v>454</v>
      </c>
      <c r="C342" s="4">
        <v>10093388</v>
      </c>
    </row>
    <row r="343" spans="1:3" ht="15.75" x14ac:dyDescent="0.25">
      <c r="A343" s="7" t="s">
        <v>597</v>
      </c>
      <c r="B343" s="6" t="s">
        <v>598</v>
      </c>
      <c r="C343" s="4">
        <v>10093392</v>
      </c>
    </row>
    <row r="344" spans="1:3" ht="15.75" x14ac:dyDescent="0.25">
      <c r="A344" s="7" t="s">
        <v>835</v>
      </c>
      <c r="B344" s="6" t="s">
        <v>836</v>
      </c>
      <c r="C344" s="4">
        <v>10025020</v>
      </c>
    </row>
    <row r="345" spans="1:3" ht="15.75" x14ac:dyDescent="0.25">
      <c r="A345" s="7" t="s">
        <v>397</v>
      </c>
      <c r="B345" s="6" t="s">
        <v>398</v>
      </c>
      <c r="C345" s="4">
        <v>10137974</v>
      </c>
    </row>
    <row r="346" spans="1:3" ht="15.75" x14ac:dyDescent="0.25">
      <c r="A346" s="7" t="s">
        <v>837</v>
      </c>
      <c r="B346" s="6" t="s">
        <v>838</v>
      </c>
      <c r="C346" s="4">
        <v>10026808</v>
      </c>
    </row>
    <row r="347" spans="1:3" ht="15.75" x14ac:dyDescent="0.25">
      <c r="A347" s="7" t="s">
        <v>839</v>
      </c>
      <c r="B347" s="6" t="s">
        <v>840</v>
      </c>
      <c r="C347" s="4">
        <v>10126996</v>
      </c>
    </row>
    <row r="348" spans="1:3" ht="15.75" x14ac:dyDescent="0.25">
      <c r="A348" s="7" t="s">
        <v>411</v>
      </c>
      <c r="B348" s="6" t="s">
        <v>412</v>
      </c>
      <c r="C348" s="4">
        <v>10010317</v>
      </c>
    </row>
    <row r="349" spans="1:3" ht="15.75" x14ac:dyDescent="0.25">
      <c r="A349" s="7" t="s">
        <v>605</v>
      </c>
      <c r="B349" s="6" t="s">
        <v>606</v>
      </c>
      <c r="C349" s="4">
        <v>10081478</v>
      </c>
    </row>
    <row r="350" spans="1:3" ht="15.75" x14ac:dyDescent="0.25">
      <c r="A350" s="7" t="s">
        <v>613</v>
      </c>
      <c r="B350" s="6" t="s">
        <v>614</v>
      </c>
      <c r="C350" s="4">
        <v>10018018</v>
      </c>
    </row>
    <row r="351" spans="1:3" ht="15.75" x14ac:dyDescent="0.25">
      <c r="A351" s="7" t="s">
        <v>677</v>
      </c>
      <c r="B351" s="6" t="s">
        <v>678</v>
      </c>
      <c r="C351" s="4">
        <v>10094021</v>
      </c>
    </row>
    <row r="352" spans="1:3" ht="15.75" x14ac:dyDescent="0.25">
      <c r="A352" s="7" t="s">
        <v>778</v>
      </c>
      <c r="B352" s="6" t="s">
        <v>779</v>
      </c>
      <c r="C352" s="4">
        <v>10086206</v>
      </c>
    </row>
    <row r="353" spans="1:3" ht="15.75" x14ac:dyDescent="0.25">
      <c r="A353" s="7" t="s">
        <v>609</v>
      </c>
      <c r="B353" s="6" t="s">
        <v>610</v>
      </c>
      <c r="C353" s="4">
        <v>10026212</v>
      </c>
    </row>
    <row r="354" spans="1:3" ht="15.75" x14ac:dyDescent="0.25">
      <c r="A354" s="7" t="s">
        <v>653</v>
      </c>
      <c r="B354" s="6" t="s">
        <v>654</v>
      </c>
      <c r="C354" s="4">
        <v>10012922</v>
      </c>
    </row>
    <row r="355" spans="1:3" ht="15.75" x14ac:dyDescent="0.25">
      <c r="A355" s="7" t="s">
        <v>607</v>
      </c>
      <c r="B355" s="6" t="s">
        <v>608</v>
      </c>
      <c r="C355" s="4">
        <v>10041554</v>
      </c>
    </row>
    <row r="356" spans="1:3" ht="15.75" x14ac:dyDescent="0.25">
      <c r="A356" s="7" t="s">
        <v>747</v>
      </c>
      <c r="B356" s="6" t="s">
        <v>748</v>
      </c>
      <c r="C356" s="4">
        <v>10030286</v>
      </c>
    </row>
    <row r="357" spans="1:3" ht="15.75" x14ac:dyDescent="0.25">
      <c r="A357" s="7" t="s">
        <v>615</v>
      </c>
      <c r="B357" s="6" t="s">
        <v>616</v>
      </c>
      <c r="C357" s="4">
        <v>10028073</v>
      </c>
    </row>
    <row r="358" spans="1:3" ht="15.75" x14ac:dyDescent="0.25">
      <c r="A358" s="7" t="s">
        <v>1080</v>
      </c>
      <c r="B358" s="6" t="s">
        <v>1081</v>
      </c>
      <c r="C358" s="4">
        <v>10097790</v>
      </c>
    </row>
    <row r="359" spans="1:3" ht="15.75" x14ac:dyDescent="0.25">
      <c r="A359" s="7" t="s">
        <v>1036</v>
      </c>
      <c r="B359" s="6" t="s">
        <v>1037</v>
      </c>
      <c r="C359" s="4">
        <v>10121595</v>
      </c>
    </row>
    <row r="360" spans="1:3" ht="15.75" x14ac:dyDescent="0.25">
      <c r="A360" s="7" t="s">
        <v>528</v>
      </c>
      <c r="B360" s="6" t="s">
        <v>529</v>
      </c>
      <c r="C360" s="4">
        <v>10091667</v>
      </c>
    </row>
    <row r="361" spans="1:3" ht="15.75" x14ac:dyDescent="0.25">
      <c r="A361" s="7" t="s">
        <v>1064</v>
      </c>
      <c r="B361" s="6" t="s">
        <v>1065</v>
      </c>
      <c r="C361" s="4">
        <v>10124129</v>
      </c>
    </row>
    <row r="362" spans="1:3" ht="15.75" x14ac:dyDescent="0.25">
      <c r="A362" s="7" t="s">
        <v>526</v>
      </c>
      <c r="B362" s="6" t="s">
        <v>527</v>
      </c>
      <c r="C362" s="4">
        <v>10123366</v>
      </c>
    </row>
    <row r="363" spans="1:3" ht="15.75" x14ac:dyDescent="0.25">
      <c r="A363" s="7" t="s">
        <v>1020</v>
      </c>
      <c r="B363" s="6" t="s">
        <v>527</v>
      </c>
      <c r="C363" s="4">
        <v>10123828</v>
      </c>
    </row>
    <row r="364" spans="1:3" ht="15.75" x14ac:dyDescent="0.25">
      <c r="A364" s="7" t="s">
        <v>923</v>
      </c>
      <c r="B364" s="6" t="s">
        <v>924</v>
      </c>
      <c r="C364" s="4">
        <v>10013694</v>
      </c>
    </row>
    <row r="365" spans="1:3" ht="15.75" x14ac:dyDescent="0.25">
      <c r="A365" s="7" t="s">
        <v>500</v>
      </c>
      <c r="B365" s="6" t="s">
        <v>501</v>
      </c>
      <c r="C365" s="4">
        <v>10146973</v>
      </c>
    </row>
    <row r="366" spans="1:3" ht="15.75" x14ac:dyDescent="0.25">
      <c r="A366" s="7" t="s">
        <v>546</v>
      </c>
      <c r="B366" s="6" t="s">
        <v>547</v>
      </c>
      <c r="C366" s="4">
        <v>10032468</v>
      </c>
    </row>
    <row r="367" spans="1:3" ht="15.75" x14ac:dyDescent="0.25">
      <c r="A367" s="7" t="s">
        <v>753</v>
      </c>
      <c r="B367" s="6" t="s">
        <v>754</v>
      </c>
      <c r="C367" s="4">
        <v>10136521</v>
      </c>
    </row>
    <row r="368" spans="1:3" ht="15.75" x14ac:dyDescent="0.25">
      <c r="A368" s="7" t="s">
        <v>1861</v>
      </c>
      <c r="B368" s="6" t="s">
        <v>1860</v>
      </c>
      <c r="C368" s="4">
        <v>10003165</v>
      </c>
    </row>
    <row r="369" spans="1:3" ht="15.75" x14ac:dyDescent="0.25">
      <c r="A369" s="7" t="s">
        <v>798</v>
      </c>
      <c r="B369" s="6" t="s">
        <v>799</v>
      </c>
      <c r="C369" s="4">
        <v>10081059</v>
      </c>
    </row>
    <row r="370" spans="1:3" ht="15.75" x14ac:dyDescent="0.25">
      <c r="A370" s="7" t="s">
        <v>492</v>
      </c>
      <c r="B370" s="6" t="s">
        <v>493</v>
      </c>
      <c r="C370" s="4">
        <v>10146472</v>
      </c>
    </row>
    <row r="371" spans="1:3" ht="15.75" x14ac:dyDescent="0.25">
      <c r="A371" s="7" t="s">
        <v>305</v>
      </c>
      <c r="B371" s="6" t="s">
        <v>306</v>
      </c>
      <c r="C371" s="4">
        <v>10016322</v>
      </c>
    </row>
    <row r="372" spans="1:3" ht="15.75" x14ac:dyDescent="0.25">
      <c r="A372" s="7" t="s">
        <v>513</v>
      </c>
      <c r="B372" s="6" t="s">
        <v>514</v>
      </c>
      <c r="C372" s="4">
        <v>10143874</v>
      </c>
    </row>
    <row r="373" spans="1:3" ht="15.75" x14ac:dyDescent="0.25">
      <c r="A373" s="7" t="s">
        <v>673</v>
      </c>
      <c r="B373" s="6" t="s">
        <v>674</v>
      </c>
      <c r="C373" s="4">
        <v>10112004</v>
      </c>
    </row>
    <row r="374" spans="1:3" ht="15.75" x14ac:dyDescent="0.25">
      <c r="A374" s="7" t="s">
        <v>433</v>
      </c>
      <c r="B374" s="6" t="s">
        <v>434</v>
      </c>
      <c r="C374" s="4">
        <v>10029459</v>
      </c>
    </row>
    <row r="375" spans="1:3" ht="15.75" x14ac:dyDescent="0.25">
      <c r="A375" s="7" t="s">
        <v>311</v>
      </c>
      <c r="B375" s="6" t="s">
        <v>312</v>
      </c>
      <c r="C375" s="4">
        <v>10140186</v>
      </c>
    </row>
    <row r="376" spans="1:3" ht="15.75" x14ac:dyDescent="0.25">
      <c r="A376" s="7" t="s">
        <v>357</v>
      </c>
      <c r="B376" s="6" t="s">
        <v>358</v>
      </c>
      <c r="C376" s="4">
        <v>10088366</v>
      </c>
    </row>
    <row r="377" spans="1:3" ht="15.75" x14ac:dyDescent="0.25">
      <c r="A377" s="7" t="s">
        <v>345</v>
      </c>
      <c r="B377" s="6" t="s">
        <v>346</v>
      </c>
      <c r="C377" s="4">
        <v>10088364</v>
      </c>
    </row>
    <row r="378" spans="1:3" ht="15.75" x14ac:dyDescent="0.25">
      <c r="A378" s="7" t="s">
        <v>914</v>
      </c>
      <c r="B378" s="6" t="s">
        <v>915</v>
      </c>
      <c r="C378" s="4">
        <v>10133795</v>
      </c>
    </row>
    <row r="379" spans="1:3" ht="15.75" x14ac:dyDescent="0.25">
      <c r="A379" s="7" t="s">
        <v>1122</v>
      </c>
      <c r="B379" s="6" t="s">
        <v>1123</v>
      </c>
      <c r="C379" s="4">
        <v>10022895</v>
      </c>
    </row>
    <row r="380" spans="1:3" ht="15.75" x14ac:dyDescent="0.25">
      <c r="A380" s="7" t="s">
        <v>661</v>
      </c>
      <c r="B380" s="6" t="s">
        <v>662</v>
      </c>
      <c r="C380" s="4">
        <v>10129747</v>
      </c>
    </row>
    <row r="381" spans="1:3" ht="15.75" x14ac:dyDescent="0.25">
      <c r="A381" s="7" t="s">
        <v>1128</v>
      </c>
      <c r="B381" s="6" t="s">
        <v>1129</v>
      </c>
      <c r="C381" s="4">
        <v>10093683</v>
      </c>
    </row>
    <row r="382" spans="1:3" ht="15.75" x14ac:dyDescent="0.25">
      <c r="A382" s="7" t="s">
        <v>387</v>
      </c>
      <c r="B382" s="6" t="s">
        <v>388</v>
      </c>
      <c r="C382" s="4">
        <v>10080807</v>
      </c>
    </row>
    <row r="383" spans="1:3" ht="15.75" x14ac:dyDescent="0.25">
      <c r="A383" s="7" t="s">
        <v>435</v>
      </c>
      <c r="B383" s="6" t="s">
        <v>436</v>
      </c>
      <c r="C383" s="4">
        <v>10024263</v>
      </c>
    </row>
    <row r="384" spans="1:3" ht="15.75" x14ac:dyDescent="0.25">
      <c r="A384" s="7" t="s">
        <v>711</v>
      </c>
      <c r="B384" s="6" t="s">
        <v>712</v>
      </c>
      <c r="C384" s="4">
        <v>10122439</v>
      </c>
    </row>
    <row r="385" spans="1:3" ht="15.75" x14ac:dyDescent="0.25">
      <c r="A385" s="7" t="s">
        <v>468</v>
      </c>
      <c r="B385" s="6" t="s">
        <v>469</v>
      </c>
      <c r="C385" s="4">
        <v>10122515</v>
      </c>
    </row>
    <row r="386" spans="1:3" ht="15.75" x14ac:dyDescent="0.25">
      <c r="A386" s="7" t="s">
        <v>361</v>
      </c>
      <c r="B386" s="6" t="s">
        <v>362</v>
      </c>
      <c r="C386" s="4">
        <v>10046717</v>
      </c>
    </row>
    <row r="387" spans="1:3" ht="15.75" x14ac:dyDescent="0.25">
      <c r="A387" s="7" t="s">
        <v>459</v>
      </c>
      <c r="B387" s="6" t="s">
        <v>460</v>
      </c>
      <c r="C387" s="4">
        <v>10146974</v>
      </c>
    </row>
    <row r="388" spans="1:3" ht="15.75" x14ac:dyDescent="0.25">
      <c r="A388" s="7" t="s">
        <v>441</v>
      </c>
      <c r="B388" s="6" t="s">
        <v>442</v>
      </c>
      <c r="C388" s="4">
        <v>10143682</v>
      </c>
    </row>
    <row r="389" spans="1:3" ht="15.75" x14ac:dyDescent="0.25">
      <c r="A389" s="7" t="s">
        <v>405</v>
      </c>
      <c r="B389" s="6" t="s">
        <v>406</v>
      </c>
      <c r="C389" s="4">
        <v>10084772</v>
      </c>
    </row>
    <row r="390" spans="1:3" ht="15.75" x14ac:dyDescent="0.25">
      <c r="A390" s="7" t="s">
        <v>733</v>
      </c>
      <c r="B390" s="6" t="s">
        <v>734</v>
      </c>
      <c r="C390" s="4">
        <v>10145895</v>
      </c>
    </row>
    <row r="391" spans="1:3" ht="15.75" x14ac:dyDescent="0.25">
      <c r="A391" s="7" t="s">
        <v>925</v>
      </c>
      <c r="B391" s="6" t="s">
        <v>926</v>
      </c>
      <c r="C391" s="4">
        <v>10046432</v>
      </c>
    </row>
    <row r="392" spans="1:3" ht="15.75" x14ac:dyDescent="0.25">
      <c r="A392" s="7" t="s">
        <v>560</v>
      </c>
      <c r="B392" s="6" t="s">
        <v>561</v>
      </c>
      <c r="C392" s="4">
        <v>10046702</v>
      </c>
    </row>
    <row r="393" spans="1:3" ht="15.75" x14ac:dyDescent="0.25">
      <c r="A393" s="7" t="s">
        <v>745</v>
      </c>
      <c r="B393" s="6" t="s">
        <v>746</v>
      </c>
      <c r="C393" s="4">
        <v>10034915</v>
      </c>
    </row>
    <row r="394" spans="1:3" ht="15.75" x14ac:dyDescent="0.25">
      <c r="A394" s="7" t="s">
        <v>665</v>
      </c>
      <c r="B394" s="6" t="s">
        <v>666</v>
      </c>
      <c r="C394" s="4">
        <v>10015174</v>
      </c>
    </row>
    <row r="395" spans="1:3" ht="15.75" x14ac:dyDescent="0.25">
      <c r="A395" s="7" t="s">
        <v>647</v>
      </c>
      <c r="B395" s="6" t="s">
        <v>648</v>
      </c>
      <c r="C395" s="4">
        <v>10000860</v>
      </c>
    </row>
    <row r="396" spans="1:3" ht="15.75" x14ac:dyDescent="0.25">
      <c r="A396" s="7" t="s">
        <v>437</v>
      </c>
      <c r="B396" s="6" t="s">
        <v>438</v>
      </c>
      <c r="C396" s="4">
        <v>10103957</v>
      </c>
    </row>
    <row r="397" spans="1:3" ht="15.75" x14ac:dyDescent="0.25">
      <c r="A397" s="7" t="s">
        <v>289</v>
      </c>
      <c r="B397" s="6" t="s">
        <v>290</v>
      </c>
      <c r="C397" s="4">
        <v>10104990</v>
      </c>
    </row>
    <row r="398" spans="1:3" ht="15.75" x14ac:dyDescent="0.25">
      <c r="A398" s="7" t="s">
        <v>515</v>
      </c>
      <c r="B398" s="6" t="s">
        <v>516</v>
      </c>
      <c r="C398" s="4">
        <v>10104902</v>
      </c>
    </row>
    <row r="399" spans="1:3" ht="15.75" x14ac:dyDescent="0.25">
      <c r="A399" s="7" t="s">
        <v>663</v>
      </c>
      <c r="B399" s="6" t="s">
        <v>664</v>
      </c>
      <c r="C399" s="4">
        <v>10029451</v>
      </c>
    </row>
    <row r="400" spans="1:3" ht="15.75" x14ac:dyDescent="0.25">
      <c r="A400" s="7" t="s">
        <v>929</v>
      </c>
      <c r="B400" s="6" t="s">
        <v>930</v>
      </c>
      <c r="C400" s="4">
        <v>10093871</v>
      </c>
    </row>
    <row r="401" spans="1:3" ht="15.75" x14ac:dyDescent="0.25">
      <c r="A401" s="7" t="s">
        <v>888</v>
      </c>
      <c r="B401" s="6" t="s">
        <v>889</v>
      </c>
      <c r="C401" s="4">
        <v>10048060</v>
      </c>
    </row>
    <row r="402" spans="1:3" ht="15.75" x14ac:dyDescent="0.25">
      <c r="A402" s="7" t="s">
        <v>1116</v>
      </c>
      <c r="B402" s="6" t="s">
        <v>1117</v>
      </c>
      <c r="C402" s="4">
        <v>10005689</v>
      </c>
    </row>
    <row r="403" spans="1:3" ht="15.75" x14ac:dyDescent="0.25">
      <c r="A403" s="7" t="s">
        <v>804</v>
      </c>
      <c r="B403" s="6" t="s">
        <v>805</v>
      </c>
      <c r="C403" s="4">
        <v>10036190</v>
      </c>
    </row>
    <row r="404" spans="1:3" ht="15.75" x14ac:dyDescent="0.25">
      <c r="A404" s="7" t="s">
        <v>566</v>
      </c>
      <c r="B404" s="6" t="s">
        <v>567</v>
      </c>
      <c r="C404" s="4">
        <v>10046159</v>
      </c>
    </row>
    <row r="405" spans="1:3" ht="15.75" x14ac:dyDescent="0.25">
      <c r="A405" s="7" t="s">
        <v>558</v>
      </c>
      <c r="B405" s="6" t="s">
        <v>559</v>
      </c>
      <c r="C405" s="4">
        <v>10080589</v>
      </c>
    </row>
    <row r="406" spans="1:3" ht="15.75" x14ac:dyDescent="0.25">
      <c r="A406" s="7" t="s">
        <v>667</v>
      </c>
      <c r="B406" s="6" t="s">
        <v>668</v>
      </c>
      <c r="C406" s="4">
        <v>10001048</v>
      </c>
    </row>
    <row r="407" spans="1:3" ht="15.75" x14ac:dyDescent="0.25">
      <c r="A407" s="7" t="s">
        <v>504</v>
      </c>
      <c r="B407" s="6" t="s">
        <v>505</v>
      </c>
      <c r="C407" s="4">
        <v>10011200</v>
      </c>
    </row>
    <row r="408" spans="1:3" ht="15.75" x14ac:dyDescent="0.25">
      <c r="A408" s="7" t="s">
        <v>556</v>
      </c>
      <c r="B408" s="6" t="s">
        <v>557</v>
      </c>
      <c r="C408" s="4">
        <v>10031395</v>
      </c>
    </row>
    <row r="409" spans="1:3" ht="15.75" x14ac:dyDescent="0.25">
      <c r="A409" s="7" t="s">
        <v>283</v>
      </c>
      <c r="B409" s="6" t="s">
        <v>284</v>
      </c>
      <c r="C409" s="4">
        <v>10089372</v>
      </c>
    </row>
    <row r="410" spans="1:3" ht="15.75" x14ac:dyDescent="0.25">
      <c r="A410" s="7" t="s">
        <v>1084</v>
      </c>
      <c r="B410" s="6" t="s">
        <v>1085</v>
      </c>
      <c r="C410" s="4">
        <v>10090337</v>
      </c>
    </row>
    <row r="411" spans="1:3" ht="15.75" x14ac:dyDescent="0.25">
      <c r="A411" s="7" t="s">
        <v>1082</v>
      </c>
      <c r="B411" s="6" t="s">
        <v>1083</v>
      </c>
      <c r="C411" s="4">
        <v>10090339</v>
      </c>
    </row>
    <row r="412" spans="1:3" ht="15.75" x14ac:dyDescent="0.25">
      <c r="A412" s="7" t="s">
        <v>980</v>
      </c>
      <c r="B412" s="6" t="s">
        <v>981</v>
      </c>
      <c r="C412" s="4">
        <v>10124400</v>
      </c>
    </row>
    <row r="413" spans="1:3" ht="15.75" x14ac:dyDescent="0.25">
      <c r="A413" s="7" t="s">
        <v>1218</v>
      </c>
      <c r="B413" s="6" t="s">
        <v>1219</v>
      </c>
      <c r="C413" s="4">
        <v>10051393</v>
      </c>
    </row>
    <row r="414" spans="1:3" ht="15.75" x14ac:dyDescent="0.25">
      <c r="A414" s="7" t="s">
        <v>1220</v>
      </c>
      <c r="B414" s="6" t="s">
        <v>1221</v>
      </c>
      <c r="C414" s="4">
        <v>10051394</v>
      </c>
    </row>
    <row r="415" spans="1:3" ht="15.75" x14ac:dyDescent="0.25">
      <c r="A415" s="7" t="s">
        <v>1222</v>
      </c>
      <c r="B415" s="6" t="s">
        <v>1221</v>
      </c>
      <c r="C415" s="4">
        <v>10051395</v>
      </c>
    </row>
    <row r="416" spans="1:3" ht="15.75" x14ac:dyDescent="0.25">
      <c r="A416" s="7" t="s">
        <v>1223</v>
      </c>
      <c r="B416" s="6" t="s">
        <v>1224</v>
      </c>
      <c r="C416" s="4">
        <v>10004424</v>
      </c>
    </row>
    <row r="417" spans="1:3" ht="15.75" x14ac:dyDescent="0.25">
      <c r="A417" s="7" t="s">
        <v>1227</v>
      </c>
      <c r="B417" s="6" t="s">
        <v>1226</v>
      </c>
      <c r="C417" s="4">
        <v>10031239</v>
      </c>
    </row>
    <row r="418" spans="1:3" ht="15.75" x14ac:dyDescent="0.25">
      <c r="A418" s="7" t="s">
        <v>1225</v>
      </c>
      <c r="B418" s="6" t="s">
        <v>1226</v>
      </c>
      <c r="C418" s="4">
        <v>10031582</v>
      </c>
    </row>
    <row r="419" spans="1:3" ht="15.75" x14ac:dyDescent="0.25">
      <c r="A419" s="7" t="s">
        <v>1228</v>
      </c>
      <c r="B419" s="6" t="s">
        <v>1229</v>
      </c>
      <c r="C419" s="4">
        <v>10081259</v>
      </c>
    </row>
    <row r="420" spans="1:3" ht="15.75" x14ac:dyDescent="0.25">
      <c r="A420" s="7" t="s">
        <v>1230</v>
      </c>
      <c r="B420" s="6" t="s">
        <v>1231</v>
      </c>
      <c r="C420" s="4">
        <v>10001408</v>
      </c>
    </row>
    <row r="421" spans="1:3" ht="15.75" x14ac:dyDescent="0.25">
      <c r="A421" s="7" t="s">
        <v>595</v>
      </c>
      <c r="B421" s="6" t="s">
        <v>596</v>
      </c>
      <c r="C421" s="4">
        <v>10134647</v>
      </c>
    </row>
    <row r="422" spans="1:3" ht="15.75" x14ac:dyDescent="0.25">
      <c r="A422" s="7" t="s">
        <v>2021</v>
      </c>
      <c r="B422" s="6" t="s">
        <v>2022</v>
      </c>
      <c r="C422" s="4">
        <v>10089243</v>
      </c>
    </row>
    <row r="423" spans="1:3" ht="15.75" x14ac:dyDescent="0.25">
      <c r="A423" s="7" t="s">
        <v>1232</v>
      </c>
      <c r="B423" s="6" t="s">
        <v>1233</v>
      </c>
      <c r="C423" s="4">
        <v>10018905</v>
      </c>
    </row>
    <row r="424" spans="1:3" ht="15.75" x14ac:dyDescent="0.25">
      <c r="A424" s="7" t="s">
        <v>1234</v>
      </c>
      <c r="B424" s="6" t="s">
        <v>1235</v>
      </c>
      <c r="C424" s="4">
        <v>10050641</v>
      </c>
    </row>
    <row r="425" spans="1:3" ht="15.75" x14ac:dyDescent="0.25">
      <c r="A425" s="7" t="s">
        <v>1238</v>
      </c>
      <c r="B425" s="6" t="s">
        <v>1237</v>
      </c>
      <c r="C425" s="4">
        <v>10050643</v>
      </c>
    </row>
    <row r="426" spans="1:3" ht="15.75" x14ac:dyDescent="0.25">
      <c r="A426" s="7" t="s">
        <v>1236</v>
      </c>
      <c r="B426" s="6" t="s">
        <v>1237</v>
      </c>
      <c r="C426" s="4">
        <v>10084287</v>
      </c>
    </row>
    <row r="427" spans="1:3" ht="15.75" x14ac:dyDescent="0.25">
      <c r="A427" s="7" t="s">
        <v>1239</v>
      </c>
      <c r="B427" s="6" t="s">
        <v>1240</v>
      </c>
      <c r="C427" s="4">
        <v>10008933</v>
      </c>
    </row>
    <row r="428" spans="1:3" ht="15.75" x14ac:dyDescent="0.25">
      <c r="A428" s="7" t="s">
        <v>1241</v>
      </c>
      <c r="B428" s="6" t="s">
        <v>1242</v>
      </c>
      <c r="C428" s="4">
        <v>10000440</v>
      </c>
    </row>
    <row r="429" spans="1:3" ht="15.75" x14ac:dyDescent="0.25">
      <c r="A429" s="7" t="s">
        <v>1243</v>
      </c>
      <c r="B429" s="6" t="s">
        <v>1244</v>
      </c>
      <c r="C429" s="4">
        <v>10000567</v>
      </c>
    </row>
    <row r="430" spans="1:3" ht="15.75" x14ac:dyDescent="0.25">
      <c r="A430" s="7" t="s">
        <v>1778</v>
      </c>
      <c r="B430" s="6" t="s">
        <v>1779</v>
      </c>
      <c r="C430" s="4">
        <v>10014691</v>
      </c>
    </row>
    <row r="431" spans="1:3" ht="15.75" x14ac:dyDescent="0.25">
      <c r="A431" s="7" t="s">
        <v>1245</v>
      </c>
      <c r="B431" s="6" t="s">
        <v>1246</v>
      </c>
      <c r="C431" s="4">
        <v>10058379</v>
      </c>
    </row>
    <row r="432" spans="1:3" ht="15.75" x14ac:dyDescent="0.25">
      <c r="A432" s="7" t="s">
        <v>268</v>
      </c>
      <c r="B432" s="6" t="s">
        <v>269</v>
      </c>
      <c r="C432" s="4">
        <v>10067485</v>
      </c>
    </row>
    <row r="433" spans="1:3" ht="15.75" x14ac:dyDescent="0.25">
      <c r="A433" s="7" t="s">
        <v>1048</v>
      </c>
      <c r="B433" s="6" t="s">
        <v>1049</v>
      </c>
      <c r="C433" s="4">
        <v>10103101</v>
      </c>
    </row>
    <row r="434" spans="1:3" ht="15.75" x14ac:dyDescent="0.25">
      <c r="A434" s="7" t="s">
        <v>335</v>
      </c>
      <c r="B434" s="6" t="s">
        <v>336</v>
      </c>
      <c r="C434" s="4">
        <v>10047740</v>
      </c>
    </row>
    <row r="435" spans="1:3" ht="15.75" x14ac:dyDescent="0.25">
      <c r="A435" s="7" t="s">
        <v>1247</v>
      </c>
      <c r="B435" s="6" t="s">
        <v>1248</v>
      </c>
      <c r="C435" s="4">
        <v>10124240</v>
      </c>
    </row>
    <row r="436" spans="1:3" ht="15.75" x14ac:dyDescent="0.25">
      <c r="A436" s="7" t="s">
        <v>1249</v>
      </c>
      <c r="B436" s="6" t="s">
        <v>1250</v>
      </c>
      <c r="C436" s="4">
        <v>10045876</v>
      </c>
    </row>
    <row r="437" spans="1:3" ht="15.75" x14ac:dyDescent="0.25">
      <c r="A437" s="7" t="s">
        <v>2023</v>
      </c>
      <c r="B437" s="6" t="s">
        <v>2024</v>
      </c>
      <c r="C437" s="4">
        <v>10098135</v>
      </c>
    </row>
    <row r="438" spans="1:3" ht="15.75" x14ac:dyDescent="0.25">
      <c r="A438" s="7" t="s">
        <v>313</v>
      </c>
      <c r="B438" s="6" t="s">
        <v>314</v>
      </c>
      <c r="C438" s="4">
        <v>10132000</v>
      </c>
    </row>
    <row r="439" spans="1:3" ht="15.75" x14ac:dyDescent="0.25">
      <c r="A439" s="7" t="s">
        <v>2025</v>
      </c>
      <c r="B439" s="6" t="s">
        <v>2026</v>
      </c>
      <c r="C439" s="4">
        <v>10122950</v>
      </c>
    </row>
    <row r="440" spans="1:3" ht="15.75" x14ac:dyDescent="0.25">
      <c r="A440" s="7" t="s">
        <v>383</v>
      </c>
      <c r="B440" s="6" t="s">
        <v>384</v>
      </c>
      <c r="C440" s="4">
        <v>10122928</v>
      </c>
    </row>
    <row r="441" spans="1:3" ht="15.75" x14ac:dyDescent="0.25">
      <c r="A441" s="7" t="s">
        <v>127</v>
      </c>
      <c r="B441" s="6" t="s">
        <v>128</v>
      </c>
      <c r="C441" s="4">
        <v>10156888</v>
      </c>
    </row>
    <row r="442" spans="1:3" ht="15.75" x14ac:dyDescent="0.25">
      <c r="A442" s="7" t="s">
        <v>1251</v>
      </c>
      <c r="B442" s="6" t="s">
        <v>1252</v>
      </c>
      <c r="C442" s="4">
        <v>10018527</v>
      </c>
    </row>
    <row r="443" spans="1:3" ht="15.75" x14ac:dyDescent="0.25">
      <c r="A443" s="7" t="s">
        <v>1253</v>
      </c>
      <c r="B443" s="6" t="s">
        <v>1254</v>
      </c>
      <c r="C443" s="4">
        <v>10015259</v>
      </c>
    </row>
    <row r="444" spans="1:3" ht="15.75" x14ac:dyDescent="0.25">
      <c r="A444" s="7" t="s">
        <v>1255</v>
      </c>
      <c r="B444" s="6" t="s">
        <v>1256</v>
      </c>
      <c r="C444" s="4">
        <v>10136207</v>
      </c>
    </row>
    <row r="445" spans="1:3" ht="15.75" x14ac:dyDescent="0.25">
      <c r="A445" s="7" t="s">
        <v>1257</v>
      </c>
      <c r="B445" s="6" t="s">
        <v>1258</v>
      </c>
      <c r="C445" s="4">
        <v>10146954</v>
      </c>
    </row>
    <row r="446" spans="1:3" ht="15.75" x14ac:dyDescent="0.25">
      <c r="A446" s="7" t="s">
        <v>1259</v>
      </c>
      <c r="B446" s="6" t="s">
        <v>1260</v>
      </c>
      <c r="C446" s="4">
        <v>10031852</v>
      </c>
    </row>
    <row r="447" spans="1:3" ht="15.75" x14ac:dyDescent="0.25">
      <c r="A447" s="7" t="s">
        <v>1261</v>
      </c>
      <c r="B447" s="6" t="s">
        <v>1262</v>
      </c>
      <c r="C447" s="4">
        <v>10114886</v>
      </c>
    </row>
    <row r="448" spans="1:3" ht="15.75" x14ac:dyDescent="0.25">
      <c r="A448" s="7" t="s">
        <v>1263</v>
      </c>
      <c r="B448" s="6" t="s">
        <v>1264</v>
      </c>
      <c r="C448" s="4">
        <v>10108951</v>
      </c>
    </row>
    <row r="449" spans="1:3" ht="15.75" x14ac:dyDescent="0.25">
      <c r="A449" s="7" t="s">
        <v>1265</v>
      </c>
      <c r="B449" s="6" t="s">
        <v>1266</v>
      </c>
      <c r="C449" s="4">
        <v>10023716</v>
      </c>
    </row>
    <row r="450" spans="1:3" ht="15.75" x14ac:dyDescent="0.25">
      <c r="A450" s="7" t="s">
        <v>632</v>
      </c>
      <c r="B450" s="6" t="s">
        <v>633</v>
      </c>
      <c r="C450" s="4">
        <v>10100139</v>
      </c>
    </row>
    <row r="451" spans="1:3" ht="15.75" x14ac:dyDescent="0.25">
      <c r="A451" s="7" t="s">
        <v>1267</v>
      </c>
      <c r="B451" s="6" t="s">
        <v>1268</v>
      </c>
      <c r="C451" s="4">
        <v>10018780</v>
      </c>
    </row>
    <row r="452" spans="1:3" ht="15.75" x14ac:dyDescent="0.25">
      <c r="A452" s="7" t="s">
        <v>1269</v>
      </c>
      <c r="B452" s="6" t="s">
        <v>1270</v>
      </c>
      <c r="C452" s="4">
        <v>10009356</v>
      </c>
    </row>
    <row r="453" spans="1:3" ht="15.75" x14ac:dyDescent="0.25">
      <c r="A453" s="7" t="s">
        <v>1271</v>
      </c>
      <c r="B453" s="6" t="s">
        <v>1272</v>
      </c>
      <c r="C453" s="4">
        <v>10092022</v>
      </c>
    </row>
    <row r="454" spans="1:3" ht="15.75" x14ac:dyDescent="0.25">
      <c r="A454" s="7" t="s">
        <v>275</v>
      </c>
      <c r="B454" s="6" t="s">
        <v>276</v>
      </c>
      <c r="C454" s="4">
        <v>10122661</v>
      </c>
    </row>
    <row r="455" spans="1:3" ht="15.75" x14ac:dyDescent="0.25">
      <c r="A455" s="7" t="s">
        <v>2027</v>
      </c>
      <c r="B455" s="6" t="s">
        <v>2028</v>
      </c>
      <c r="C455" s="4">
        <v>10005917</v>
      </c>
    </row>
    <row r="456" spans="1:3" ht="15.75" x14ac:dyDescent="0.25">
      <c r="A456" s="7" t="s">
        <v>589</v>
      </c>
      <c r="B456" s="6" t="s">
        <v>590</v>
      </c>
      <c r="C456" s="4">
        <v>10087174</v>
      </c>
    </row>
    <row r="457" spans="1:3" ht="15.75" x14ac:dyDescent="0.25">
      <c r="A457" s="7" t="s">
        <v>153</v>
      </c>
      <c r="B457" s="6" t="s">
        <v>154</v>
      </c>
      <c r="C457" s="4">
        <v>10043127</v>
      </c>
    </row>
    <row r="458" spans="1:3" ht="15.75" x14ac:dyDescent="0.25">
      <c r="A458" s="7" t="s">
        <v>2029</v>
      </c>
      <c r="B458" s="6" t="s">
        <v>2030</v>
      </c>
      <c r="C458" s="4">
        <v>10087420</v>
      </c>
    </row>
    <row r="459" spans="1:3" ht="15.75" x14ac:dyDescent="0.25">
      <c r="A459" s="7" t="s">
        <v>2031</v>
      </c>
      <c r="B459" s="6" t="s">
        <v>2032</v>
      </c>
      <c r="C459" s="4">
        <v>10095502</v>
      </c>
    </row>
    <row r="460" spans="1:3" ht="15.75" x14ac:dyDescent="0.25">
      <c r="A460" s="7" t="s">
        <v>939</v>
      </c>
      <c r="B460" s="6" t="s">
        <v>940</v>
      </c>
      <c r="C460" s="4">
        <v>10036062</v>
      </c>
    </row>
    <row r="461" spans="1:3" ht="15.75" x14ac:dyDescent="0.25">
      <c r="A461" s="7" t="s">
        <v>962</v>
      </c>
      <c r="B461" s="6" t="s">
        <v>963</v>
      </c>
      <c r="C461" s="4">
        <v>10095503</v>
      </c>
    </row>
    <row r="462" spans="1:3" ht="15.75" x14ac:dyDescent="0.25">
      <c r="A462" s="7" t="s">
        <v>937</v>
      </c>
      <c r="B462" s="6" t="s">
        <v>938</v>
      </c>
      <c r="C462" s="4">
        <v>10090665</v>
      </c>
    </row>
    <row r="463" spans="1:3" ht="15.75" x14ac:dyDescent="0.25">
      <c r="A463" s="7" t="s">
        <v>948</v>
      </c>
      <c r="B463" s="6" t="s">
        <v>949</v>
      </c>
      <c r="C463" s="4">
        <v>10094369</v>
      </c>
    </row>
    <row r="464" spans="1:3" ht="15.75" x14ac:dyDescent="0.25">
      <c r="A464" s="7" t="s">
        <v>950</v>
      </c>
      <c r="B464" s="6" t="s">
        <v>951</v>
      </c>
      <c r="C464" s="4">
        <v>10094949</v>
      </c>
    </row>
    <row r="465" spans="1:3" ht="15.75" x14ac:dyDescent="0.25">
      <c r="A465" s="7" t="s">
        <v>958</v>
      </c>
      <c r="B465" s="6" t="s">
        <v>959</v>
      </c>
      <c r="C465" s="4">
        <v>10093869</v>
      </c>
    </row>
    <row r="466" spans="1:3" ht="15.75" x14ac:dyDescent="0.25">
      <c r="A466" s="7" t="s">
        <v>946</v>
      </c>
      <c r="B466" s="6" t="s">
        <v>947</v>
      </c>
      <c r="C466" s="4">
        <v>10094630</v>
      </c>
    </row>
    <row r="467" spans="1:3" ht="15.75" x14ac:dyDescent="0.25">
      <c r="A467" s="7" t="s">
        <v>2033</v>
      </c>
      <c r="B467" s="6" t="s">
        <v>2034</v>
      </c>
      <c r="C467" s="4">
        <v>10087476</v>
      </c>
    </row>
    <row r="468" spans="1:3" ht="15.75" x14ac:dyDescent="0.25">
      <c r="A468" s="7" t="s">
        <v>1040</v>
      </c>
      <c r="B468" s="6" t="s">
        <v>1041</v>
      </c>
      <c r="C468" s="4">
        <v>10145077</v>
      </c>
    </row>
    <row r="469" spans="1:3" ht="15.75" x14ac:dyDescent="0.25">
      <c r="A469" s="7" t="s">
        <v>853</v>
      </c>
      <c r="B469" s="6" t="s">
        <v>854</v>
      </c>
      <c r="C469" s="4">
        <v>10132980</v>
      </c>
    </row>
    <row r="470" spans="1:3" ht="15.75" x14ac:dyDescent="0.25">
      <c r="A470" s="7" t="s">
        <v>1273</v>
      </c>
      <c r="B470" s="6" t="s">
        <v>1274</v>
      </c>
      <c r="C470" s="4">
        <v>10058700</v>
      </c>
    </row>
    <row r="471" spans="1:3" ht="15.75" x14ac:dyDescent="0.25">
      <c r="A471" s="7" t="s">
        <v>1275</v>
      </c>
      <c r="B471" s="6" t="s">
        <v>1276</v>
      </c>
      <c r="C471" s="4">
        <v>10020261</v>
      </c>
    </row>
    <row r="472" spans="1:3" ht="15.75" x14ac:dyDescent="0.25">
      <c r="A472" s="7" t="s">
        <v>1277</v>
      </c>
      <c r="B472" s="6" t="s">
        <v>1278</v>
      </c>
      <c r="C472" s="4">
        <v>10000506</v>
      </c>
    </row>
    <row r="473" spans="1:3" ht="15.75" x14ac:dyDescent="0.25">
      <c r="A473" s="7" t="s">
        <v>1279</v>
      </c>
      <c r="B473" s="6" t="s">
        <v>1280</v>
      </c>
      <c r="C473" s="4">
        <v>10095662</v>
      </c>
    </row>
    <row r="474" spans="1:3" ht="15.75" x14ac:dyDescent="0.25">
      <c r="A474" s="7" t="s">
        <v>1281</v>
      </c>
      <c r="B474" s="6" t="s">
        <v>1282</v>
      </c>
      <c r="C474" s="4">
        <v>10040413</v>
      </c>
    </row>
    <row r="475" spans="1:3" ht="15.75" x14ac:dyDescent="0.25">
      <c r="A475" s="7" t="s">
        <v>611</v>
      </c>
      <c r="B475" s="6" t="s">
        <v>612</v>
      </c>
      <c r="C475" s="4">
        <v>10098727</v>
      </c>
    </row>
    <row r="476" spans="1:3" ht="15.75" x14ac:dyDescent="0.25">
      <c r="A476" s="7" t="s">
        <v>1283</v>
      </c>
      <c r="B476" s="6" t="s">
        <v>1284</v>
      </c>
      <c r="C476" s="4">
        <v>10099787</v>
      </c>
    </row>
    <row r="477" spans="1:3" ht="15.75" x14ac:dyDescent="0.25">
      <c r="A477" s="7" t="s">
        <v>755</v>
      </c>
      <c r="B477" s="6" t="s">
        <v>756</v>
      </c>
      <c r="C477" s="4">
        <v>10102345</v>
      </c>
    </row>
    <row r="478" spans="1:3" ht="15.75" x14ac:dyDescent="0.25">
      <c r="A478" s="7" t="s">
        <v>735</v>
      </c>
      <c r="B478" s="6" t="s">
        <v>736</v>
      </c>
      <c r="C478" s="4">
        <v>10077945</v>
      </c>
    </row>
    <row r="479" spans="1:3" ht="15.75" x14ac:dyDescent="0.25">
      <c r="A479" s="7" t="s">
        <v>786</v>
      </c>
      <c r="B479" s="6" t="s">
        <v>787</v>
      </c>
      <c r="C479" s="4">
        <v>10083559</v>
      </c>
    </row>
    <row r="480" spans="1:3" ht="15.75" x14ac:dyDescent="0.25">
      <c r="A480" s="7" t="s">
        <v>767</v>
      </c>
      <c r="B480" s="6" t="s">
        <v>768</v>
      </c>
      <c r="C480" s="4">
        <v>10088183</v>
      </c>
    </row>
    <row r="481" spans="1:3" ht="15.75" x14ac:dyDescent="0.25">
      <c r="A481" s="7" t="s">
        <v>771</v>
      </c>
      <c r="B481" s="6" t="s">
        <v>772</v>
      </c>
      <c r="C481" s="4">
        <v>10102913</v>
      </c>
    </row>
    <row r="482" spans="1:3" ht="15.75" x14ac:dyDescent="0.25">
      <c r="A482" s="7" t="s">
        <v>701</v>
      </c>
      <c r="B482" s="6" t="s">
        <v>702</v>
      </c>
      <c r="C482" s="4">
        <v>10143895</v>
      </c>
    </row>
    <row r="483" spans="1:3" ht="15.75" x14ac:dyDescent="0.25">
      <c r="A483" s="7" t="s">
        <v>315</v>
      </c>
      <c r="B483" s="6" t="s">
        <v>316</v>
      </c>
      <c r="C483" s="4">
        <v>10088149</v>
      </c>
    </row>
    <row r="484" spans="1:3" ht="15.75" x14ac:dyDescent="0.25">
      <c r="A484" s="7" t="s">
        <v>1285</v>
      </c>
      <c r="B484" s="6" t="s">
        <v>1286</v>
      </c>
      <c r="C484" s="4">
        <v>10030716</v>
      </c>
    </row>
    <row r="485" spans="1:3" ht="15.75" x14ac:dyDescent="0.25">
      <c r="A485" s="7" t="s">
        <v>1287</v>
      </c>
      <c r="B485" s="6" t="s">
        <v>1288</v>
      </c>
      <c r="C485" s="4">
        <v>10081477</v>
      </c>
    </row>
    <row r="486" spans="1:3" ht="15.75" x14ac:dyDescent="0.25">
      <c r="A486" s="7" t="s">
        <v>1289</v>
      </c>
      <c r="B486" s="6" t="s">
        <v>1290</v>
      </c>
      <c r="C486" s="4">
        <v>10032589</v>
      </c>
    </row>
    <row r="487" spans="1:3" ht="15.75" x14ac:dyDescent="0.25">
      <c r="A487" s="7" t="s">
        <v>1291</v>
      </c>
      <c r="B487" s="6" t="s">
        <v>1292</v>
      </c>
      <c r="C487" s="4">
        <v>10036216</v>
      </c>
    </row>
    <row r="488" spans="1:3" ht="15.75" x14ac:dyDescent="0.25">
      <c r="A488" s="7" t="s">
        <v>966</v>
      </c>
      <c r="B488" s="6" t="s">
        <v>967</v>
      </c>
      <c r="C488" s="4">
        <v>10106308</v>
      </c>
    </row>
    <row r="489" spans="1:3" ht="15.75" x14ac:dyDescent="0.25">
      <c r="A489" s="7" t="s">
        <v>587</v>
      </c>
      <c r="B489" s="6" t="s">
        <v>588</v>
      </c>
      <c r="C489" s="4">
        <v>10023467</v>
      </c>
    </row>
    <row r="490" spans="1:3" ht="15.75" x14ac:dyDescent="0.25">
      <c r="A490" s="7" t="s">
        <v>1293</v>
      </c>
      <c r="B490" s="6" t="s">
        <v>1294</v>
      </c>
      <c r="C490" s="4">
        <v>10142388</v>
      </c>
    </row>
    <row r="491" spans="1:3" ht="15.75" x14ac:dyDescent="0.25">
      <c r="A491" s="7" t="s">
        <v>1295</v>
      </c>
      <c r="B491" s="6" t="s">
        <v>1296</v>
      </c>
      <c r="C491" s="4">
        <v>10140191</v>
      </c>
    </row>
    <row r="492" spans="1:3" ht="15.75" x14ac:dyDescent="0.25">
      <c r="A492" s="7" t="s">
        <v>1297</v>
      </c>
      <c r="B492" s="6" t="s">
        <v>1298</v>
      </c>
      <c r="C492" s="4">
        <v>10113246</v>
      </c>
    </row>
    <row r="493" spans="1:3" ht="15.75" x14ac:dyDescent="0.25">
      <c r="A493" s="7" t="s">
        <v>1299</v>
      </c>
      <c r="B493" s="6" t="s">
        <v>1300</v>
      </c>
      <c r="C493" s="4">
        <v>10015404</v>
      </c>
    </row>
    <row r="494" spans="1:3" ht="15.75" x14ac:dyDescent="0.25">
      <c r="A494" s="7" t="s">
        <v>1301</v>
      </c>
      <c r="B494" s="6" t="s">
        <v>1302</v>
      </c>
      <c r="C494" s="4">
        <v>10138545</v>
      </c>
    </row>
    <row r="495" spans="1:3" ht="15.75" x14ac:dyDescent="0.25">
      <c r="A495" s="7" t="s">
        <v>1303</v>
      </c>
      <c r="B495" s="6" t="s">
        <v>1304</v>
      </c>
      <c r="C495" s="4">
        <v>10026614</v>
      </c>
    </row>
    <row r="496" spans="1:3" ht="15.75" x14ac:dyDescent="0.25">
      <c r="A496" s="7" t="s">
        <v>1305</v>
      </c>
      <c r="B496" s="6" t="s">
        <v>1306</v>
      </c>
      <c r="C496" s="4">
        <v>10024718</v>
      </c>
    </row>
    <row r="497" spans="1:3" ht="15.75" x14ac:dyDescent="0.25">
      <c r="A497" s="7" t="s">
        <v>1126</v>
      </c>
      <c r="B497" s="6" t="s">
        <v>1127</v>
      </c>
      <c r="C497" s="4">
        <v>10144056</v>
      </c>
    </row>
    <row r="498" spans="1:3" ht="15.75" x14ac:dyDescent="0.25">
      <c r="A498" s="7" t="s">
        <v>1307</v>
      </c>
      <c r="B498" s="6" t="s">
        <v>1308</v>
      </c>
      <c r="C498" s="4">
        <v>10105058</v>
      </c>
    </row>
    <row r="499" spans="1:3" ht="15.75" x14ac:dyDescent="0.25">
      <c r="A499" s="7" t="s">
        <v>1023</v>
      </c>
      <c r="B499" s="6" t="s">
        <v>1024</v>
      </c>
      <c r="C499" s="4">
        <v>10085542</v>
      </c>
    </row>
    <row r="500" spans="1:3" ht="15.75" x14ac:dyDescent="0.25">
      <c r="A500" s="7" t="s">
        <v>1309</v>
      </c>
      <c r="B500" s="6" t="s">
        <v>1310</v>
      </c>
      <c r="C500" s="4">
        <v>10026946</v>
      </c>
    </row>
    <row r="501" spans="1:3" ht="15.75" x14ac:dyDescent="0.25">
      <c r="A501" s="7" t="s">
        <v>224</v>
      </c>
      <c r="B501" s="6" t="s">
        <v>225</v>
      </c>
      <c r="C501" s="4">
        <v>10091126</v>
      </c>
    </row>
    <row r="502" spans="1:3" ht="15.75" x14ac:dyDescent="0.25">
      <c r="A502" s="7" t="s">
        <v>1311</v>
      </c>
      <c r="B502" s="6" t="s">
        <v>1312</v>
      </c>
      <c r="C502" s="4">
        <v>10057807</v>
      </c>
    </row>
    <row r="503" spans="1:3" ht="15.75" x14ac:dyDescent="0.25">
      <c r="A503" s="7" t="s">
        <v>1313</v>
      </c>
      <c r="B503" s="6" t="s">
        <v>1314</v>
      </c>
      <c r="C503" s="4">
        <v>10016454</v>
      </c>
    </row>
    <row r="504" spans="1:3" ht="15.75" x14ac:dyDescent="0.25">
      <c r="A504" s="7" t="s">
        <v>1315</v>
      </c>
      <c r="B504" s="6" t="s">
        <v>1316</v>
      </c>
      <c r="C504" s="4">
        <v>10026113</v>
      </c>
    </row>
    <row r="505" spans="1:3" ht="15.75" x14ac:dyDescent="0.25">
      <c r="A505" s="7" t="s">
        <v>1317</v>
      </c>
      <c r="B505" s="6" t="s">
        <v>1316</v>
      </c>
      <c r="C505" s="4">
        <v>10030096</v>
      </c>
    </row>
    <row r="506" spans="1:3" ht="15.75" x14ac:dyDescent="0.25">
      <c r="A506" s="7" t="s">
        <v>1320</v>
      </c>
      <c r="B506" s="6" t="s">
        <v>1316</v>
      </c>
      <c r="C506" s="4">
        <v>10046111</v>
      </c>
    </row>
    <row r="507" spans="1:3" ht="15.75" x14ac:dyDescent="0.25">
      <c r="A507" s="7" t="s">
        <v>1318</v>
      </c>
      <c r="B507" s="6" t="s">
        <v>1316</v>
      </c>
      <c r="C507" s="4">
        <v>10111621</v>
      </c>
    </row>
    <row r="508" spans="1:3" ht="15.75" x14ac:dyDescent="0.25">
      <c r="A508" s="7" t="s">
        <v>1319</v>
      </c>
      <c r="B508" s="6" t="s">
        <v>1316</v>
      </c>
      <c r="C508" s="4">
        <v>10112443</v>
      </c>
    </row>
    <row r="509" spans="1:3" ht="15.75" x14ac:dyDescent="0.25">
      <c r="A509" s="7" t="s">
        <v>1321</v>
      </c>
      <c r="B509" s="6" t="s">
        <v>1322</v>
      </c>
      <c r="C509" s="4">
        <v>10046933</v>
      </c>
    </row>
    <row r="510" spans="1:3" ht="15.75" x14ac:dyDescent="0.25">
      <c r="A510" s="7" t="s">
        <v>1323</v>
      </c>
      <c r="B510" s="6" t="s">
        <v>1324</v>
      </c>
      <c r="C510" s="4">
        <v>10019984</v>
      </c>
    </row>
    <row r="511" spans="1:3" ht="15.75" x14ac:dyDescent="0.25">
      <c r="A511" s="7" t="s">
        <v>1325</v>
      </c>
      <c r="B511" s="6" t="s">
        <v>1326</v>
      </c>
      <c r="C511" s="4">
        <v>10017751</v>
      </c>
    </row>
    <row r="512" spans="1:3" ht="15.75" x14ac:dyDescent="0.25">
      <c r="A512" s="7" t="s">
        <v>147</v>
      </c>
      <c r="B512" s="6" t="s">
        <v>148</v>
      </c>
      <c r="C512" s="4">
        <v>10007236</v>
      </c>
    </row>
    <row r="513" spans="1:3" ht="15.75" x14ac:dyDescent="0.25">
      <c r="A513" s="7" t="s">
        <v>1327</v>
      </c>
      <c r="B513" s="6" t="s">
        <v>1328</v>
      </c>
      <c r="C513" s="4">
        <v>10109751</v>
      </c>
    </row>
    <row r="514" spans="1:3" ht="15.75" x14ac:dyDescent="0.25">
      <c r="A514" s="7" t="s">
        <v>1329</v>
      </c>
      <c r="B514" s="6" t="s">
        <v>1330</v>
      </c>
      <c r="C514" s="4">
        <v>10047574</v>
      </c>
    </row>
    <row r="515" spans="1:3" ht="15.75" x14ac:dyDescent="0.25">
      <c r="A515" s="7" t="s">
        <v>954</v>
      </c>
      <c r="B515" s="6" t="s">
        <v>955</v>
      </c>
      <c r="C515" s="4">
        <v>10005181</v>
      </c>
    </row>
    <row r="516" spans="1:3" ht="15.75" x14ac:dyDescent="0.25">
      <c r="A516" s="7" t="s">
        <v>1110</v>
      </c>
      <c r="B516" s="6" t="s">
        <v>1111</v>
      </c>
      <c r="C516" s="4">
        <v>10083579</v>
      </c>
    </row>
    <row r="517" spans="1:3" ht="15.75" x14ac:dyDescent="0.25">
      <c r="A517" s="7" t="s">
        <v>470</v>
      </c>
      <c r="B517" s="6" t="s">
        <v>471</v>
      </c>
      <c r="C517" s="4">
        <v>10030367</v>
      </c>
    </row>
    <row r="518" spans="1:3" ht="15.75" x14ac:dyDescent="0.25">
      <c r="A518" s="7" t="s">
        <v>472</v>
      </c>
      <c r="B518" s="6" t="s">
        <v>473</v>
      </c>
      <c r="C518" s="4">
        <v>10126708</v>
      </c>
    </row>
    <row r="519" spans="1:3" ht="15.75" x14ac:dyDescent="0.25">
      <c r="A519" s="7" t="s">
        <v>643</v>
      </c>
      <c r="B519" s="6" t="s">
        <v>644</v>
      </c>
      <c r="C519" s="4">
        <v>10093708</v>
      </c>
    </row>
    <row r="520" spans="1:3" ht="15.75" x14ac:dyDescent="0.25">
      <c r="A520" s="7" t="s">
        <v>1331</v>
      </c>
      <c r="B520" s="6" t="s">
        <v>1332</v>
      </c>
      <c r="C520" s="4">
        <v>10017091</v>
      </c>
    </row>
    <row r="521" spans="1:3" ht="15.75" x14ac:dyDescent="0.25">
      <c r="A521" s="7" t="s">
        <v>1012</v>
      </c>
      <c r="B521" s="6" t="s">
        <v>1013</v>
      </c>
      <c r="C521" s="4">
        <v>10104324</v>
      </c>
    </row>
    <row r="522" spans="1:3" ht="15.75" x14ac:dyDescent="0.25">
      <c r="A522" s="7" t="s">
        <v>1032</v>
      </c>
      <c r="B522" s="6" t="s">
        <v>1033</v>
      </c>
      <c r="C522" s="4">
        <v>10092267</v>
      </c>
    </row>
    <row r="523" spans="1:3" ht="15.75" x14ac:dyDescent="0.25">
      <c r="A523" s="7" t="s">
        <v>974</v>
      </c>
      <c r="B523" s="6" t="s">
        <v>975</v>
      </c>
      <c r="C523" s="4">
        <v>10087522</v>
      </c>
    </row>
    <row r="524" spans="1:3" ht="15.75" x14ac:dyDescent="0.25">
      <c r="A524" s="7" t="s">
        <v>1333</v>
      </c>
      <c r="B524" s="6" t="s">
        <v>1334</v>
      </c>
      <c r="C524" s="4">
        <v>10008858</v>
      </c>
    </row>
    <row r="525" spans="1:3" ht="15.75" x14ac:dyDescent="0.25">
      <c r="A525" s="7" t="s">
        <v>1335</v>
      </c>
      <c r="B525" s="6" t="s">
        <v>1336</v>
      </c>
      <c r="C525" s="4">
        <v>10012896</v>
      </c>
    </row>
    <row r="526" spans="1:3" ht="15.75" x14ac:dyDescent="0.25">
      <c r="A526" s="7" t="s">
        <v>222</v>
      </c>
      <c r="B526" s="6" t="s">
        <v>223</v>
      </c>
      <c r="C526" s="4">
        <v>10119923</v>
      </c>
    </row>
    <row r="527" spans="1:3" ht="15.75" x14ac:dyDescent="0.25">
      <c r="A527" s="7" t="s">
        <v>169</v>
      </c>
      <c r="B527" s="6" t="s">
        <v>170</v>
      </c>
      <c r="C527" s="4">
        <v>10157238</v>
      </c>
    </row>
    <row r="528" spans="1:3" ht="15.75" x14ac:dyDescent="0.25">
      <c r="A528" s="7" t="s">
        <v>242</v>
      </c>
      <c r="B528" s="6" t="s">
        <v>243</v>
      </c>
      <c r="C528" s="4">
        <v>10122814</v>
      </c>
    </row>
    <row r="529" spans="1:3" ht="15.75" x14ac:dyDescent="0.25">
      <c r="A529" s="7" t="s">
        <v>116</v>
      </c>
      <c r="B529" s="6" t="s">
        <v>117</v>
      </c>
      <c r="C529" s="4">
        <v>10021372</v>
      </c>
    </row>
    <row r="530" spans="1:3" ht="15.75" x14ac:dyDescent="0.25">
      <c r="A530" s="7" t="s">
        <v>218</v>
      </c>
      <c r="B530" s="6" t="s">
        <v>219</v>
      </c>
      <c r="C530" s="4">
        <v>10145439</v>
      </c>
    </row>
    <row r="531" spans="1:3" ht="15.75" x14ac:dyDescent="0.25">
      <c r="A531" s="7" t="s">
        <v>228</v>
      </c>
      <c r="B531" s="6" t="s">
        <v>211</v>
      </c>
      <c r="C531" s="4">
        <v>10129361</v>
      </c>
    </row>
    <row r="532" spans="1:3" ht="15.75" x14ac:dyDescent="0.25">
      <c r="A532" s="7" t="s">
        <v>210</v>
      </c>
      <c r="B532" s="6" t="s">
        <v>211</v>
      </c>
      <c r="C532" s="4">
        <v>10133513</v>
      </c>
    </row>
    <row r="533" spans="1:3" ht="15.75" x14ac:dyDescent="0.25">
      <c r="A533" s="7" t="s">
        <v>216</v>
      </c>
      <c r="B533" s="6" t="s">
        <v>217</v>
      </c>
      <c r="C533" s="4">
        <v>10091770</v>
      </c>
    </row>
    <row r="534" spans="1:3" ht="15.75" x14ac:dyDescent="0.25">
      <c r="A534" s="7" t="s">
        <v>207</v>
      </c>
      <c r="B534" s="6" t="s">
        <v>208</v>
      </c>
      <c r="C534" s="4">
        <v>10047382</v>
      </c>
    </row>
    <row r="535" spans="1:3" ht="15.75" x14ac:dyDescent="0.25">
      <c r="A535" s="7" t="s">
        <v>199</v>
      </c>
      <c r="B535" s="6" t="s">
        <v>200</v>
      </c>
      <c r="C535" s="4">
        <v>10070160</v>
      </c>
    </row>
    <row r="536" spans="1:3" ht="15.75" x14ac:dyDescent="0.25">
      <c r="A536" s="7" t="s">
        <v>235</v>
      </c>
      <c r="B536" s="6" t="s">
        <v>236</v>
      </c>
      <c r="C536" s="4">
        <v>10117691</v>
      </c>
    </row>
    <row r="537" spans="1:3" ht="15.75" x14ac:dyDescent="0.25">
      <c r="A537" s="7" t="s">
        <v>114</v>
      </c>
      <c r="B537" s="6" t="s">
        <v>115</v>
      </c>
      <c r="C537" s="4">
        <v>10064686</v>
      </c>
    </row>
    <row r="538" spans="1:3" ht="15.75" x14ac:dyDescent="0.25">
      <c r="A538" s="7" t="s">
        <v>240</v>
      </c>
      <c r="B538" s="6" t="s">
        <v>241</v>
      </c>
      <c r="C538" s="4">
        <v>10119079</v>
      </c>
    </row>
    <row r="539" spans="1:3" ht="15.75" x14ac:dyDescent="0.25">
      <c r="A539" s="7" t="s">
        <v>244</v>
      </c>
      <c r="B539" s="6" t="s">
        <v>245</v>
      </c>
      <c r="C539" s="4">
        <v>10145849</v>
      </c>
    </row>
    <row r="540" spans="1:3" ht="15.75" x14ac:dyDescent="0.25">
      <c r="A540" s="7" t="s">
        <v>171</v>
      </c>
      <c r="B540" s="6" t="s">
        <v>172</v>
      </c>
      <c r="C540" s="4">
        <v>10052559</v>
      </c>
    </row>
    <row r="541" spans="1:3" ht="15.75" x14ac:dyDescent="0.25">
      <c r="A541" s="7" t="s">
        <v>139</v>
      </c>
      <c r="B541" s="6" t="s">
        <v>140</v>
      </c>
      <c r="C541" s="4">
        <v>10051604</v>
      </c>
    </row>
    <row r="542" spans="1:3" ht="15.75" x14ac:dyDescent="0.25">
      <c r="A542" s="7" t="s">
        <v>175</v>
      </c>
      <c r="B542" s="6" t="s">
        <v>176</v>
      </c>
      <c r="C542" s="4">
        <v>10088404</v>
      </c>
    </row>
    <row r="543" spans="1:3" ht="15.75" x14ac:dyDescent="0.25">
      <c r="A543" s="7" t="s">
        <v>266</v>
      </c>
      <c r="B543" s="6" t="s">
        <v>267</v>
      </c>
      <c r="C543" s="4">
        <v>10067267</v>
      </c>
    </row>
    <row r="544" spans="1:3" ht="15.75" x14ac:dyDescent="0.25">
      <c r="A544" s="7" t="s">
        <v>231</v>
      </c>
      <c r="B544" s="6" t="s">
        <v>232</v>
      </c>
      <c r="C544" s="4">
        <v>10153035</v>
      </c>
    </row>
    <row r="545" spans="1:3" ht="15.75" x14ac:dyDescent="0.25">
      <c r="A545" s="7" t="s">
        <v>233</v>
      </c>
      <c r="B545" s="6" t="s">
        <v>234</v>
      </c>
      <c r="C545" s="4">
        <v>10105428</v>
      </c>
    </row>
    <row r="546" spans="1:3" ht="15.75" x14ac:dyDescent="0.25">
      <c r="A546" s="7" t="s">
        <v>18</v>
      </c>
      <c r="B546" s="6" t="s">
        <v>17</v>
      </c>
      <c r="C546" s="4">
        <v>10013504</v>
      </c>
    </row>
    <row r="547" spans="1:3" ht="15.75" x14ac:dyDescent="0.25">
      <c r="A547" s="7" t="s">
        <v>167</v>
      </c>
      <c r="B547" s="6" t="s">
        <v>168</v>
      </c>
      <c r="C547" s="4">
        <v>10124100</v>
      </c>
    </row>
    <row r="548" spans="1:3" ht="15.75" x14ac:dyDescent="0.25">
      <c r="A548" s="7" t="s">
        <v>186</v>
      </c>
      <c r="B548" s="6" t="s">
        <v>187</v>
      </c>
      <c r="C548" s="4">
        <v>10088312</v>
      </c>
    </row>
    <row r="549" spans="1:3" ht="15.75" x14ac:dyDescent="0.25">
      <c r="A549" s="7" t="s">
        <v>260</v>
      </c>
      <c r="B549" s="6" t="s">
        <v>261</v>
      </c>
      <c r="C549" s="4">
        <v>10129019</v>
      </c>
    </row>
    <row r="550" spans="1:3" ht="15.75" x14ac:dyDescent="0.25">
      <c r="A550" s="7" t="s">
        <v>155</v>
      </c>
      <c r="B550" s="6" t="s">
        <v>156</v>
      </c>
      <c r="C550" s="4">
        <v>10018657</v>
      </c>
    </row>
    <row r="551" spans="1:3" ht="15.75" x14ac:dyDescent="0.25">
      <c r="A551" s="7" t="s">
        <v>133</v>
      </c>
      <c r="B551" s="6" t="s">
        <v>134</v>
      </c>
      <c r="C551" s="4">
        <v>10054337</v>
      </c>
    </row>
    <row r="552" spans="1:3" ht="15.75" x14ac:dyDescent="0.25">
      <c r="A552" s="7" t="s">
        <v>237</v>
      </c>
      <c r="B552" s="6" t="s">
        <v>238</v>
      </c>
      <c r="C552" s="4">
        <v>10122722</v>
      </c>
    </row>
    <row r="553" spans="1:3" ht="15.75" x14ac:dyDescent="0.25">
      <c r="A553" s="7" t="s">
        <v>251</v>
      </c>
      <c r="B553" s="6" t="s">
        <v>252</v>
      </c>
      <c r="C553" s="4">
        <v>10144003</v>
      </c>
    </row>
    <row r="554" spans="1:3" ht="15.75" x14ac:dyDescent="0.25">
      <c r="A554" s="7" t="s">
        <v>259</v>
      </c>
      <c r="B554" s="6" t="s">
        <v>196</v>
      </c>
      <c r="C554" s="4">
        <v>10026029</v>
      </c>
    </row>
    <row r="555" spans="1:3" ht="15.75" x14ac:dyDescent="0.25">
      <c r="A555" s="7" t="s">
        <v>195</v>
      </c>
      <c r="B555" s="6" t="s">
        <v>196</v>
      </c>
      <c r="C555" s="4">
        <v>10083687</v>
      </c>
    </row>
    <row r="556" spans="1:3" ht="15.75" x14ac:dyDescent="0.25">
      <c r="A556" s="7" t="s">
        <v>250</v>
      </c>
      <c r="B556" s="6" t="s">
        <v>196</v>
      </c>
      <c r="C556" s="4">
        <v>10128639</v>
      </c>
    </row>
    <row r="557" spans="1:3" ht="15.75" x14ac:dyDescent="0.25">
      <c r="A557" s="7" t="s">
        <v>197</v>
      </c>
      <c r="B557" s="6" t="s">
        <v>198</v>
      </c>
      <c r="C557" s="4">
        <v>10048090</v>
      </c>
    </row>
    <row r="558" spans="1:3" ht="15.75" x14ac:dyDescent="0.25">
      <c r="A558" s="7" t="s">
        <v>239</v>
      </c>
      <c r="B558" s="6" t="s">
        <v>198</v>
      </c>
      <c r="C558" s="4">
        <v>10136660</v>
      </c>
    </row>
    <row r="559" spans="1:3" ht="15.75" x14ac:dyDescent="0.25">
      <c r="A559" s="7" t="s">
        <v>201</v>
      </c>
      <c r="B559" s="6" t="s">
        <v>202</v>
      </c>
      <c r="C559" s="4">
        <v>10048479</v>
      </c>
    </row>
    <row r="560" spans="1:3" ht="15.75" x14ac:dyDescent="0.25">
      <c r="A560" s="7" t="s">
        <v>188</v>
      </c>
      <c r="B560" s="6" t="s">
        <v>189</v>
      </c>
      <c r="C560" s="4">
        <v>10032980</v>
      </c>
    </row>
    <row r="561" spans="1:3" ht="15.75" x14ac:dyDescent="0.25">
      <c r="A561" s="7" t="s">
        <v>141</v>
      </c>
      <c r="B561" s="6" t="s">
        <v>142</v>
      </c>
      <c r="C561" s="4">
        <v>10066361</v>
      </c>
    </row>
    <row r="562" spans="1:3" ht="15.75" x14ac:dyDescent="0.25">
      <c r="A562" s="7" t="s">
        <v>185</v>
      </c>
      <c r="B562" s="6" t="s">
        <v>142</v>
      </c>
      <c r="C562" s="4">
        <v>10070420</v>
      </c>
    </row>
    <row r="563" spans="1:3" ht="15.75" x14ac:dyDescent="0.25">
      <c r="A563" s="7" t="s">
        <v>183</v>
      </c>
      <c r="B563" s="6" t="s">
        <v>184</v>
      </c>
      <c r="C563" s="4">
        <v>10070175</v>
      </c>
    </row>
    <row r="564" spans="1:3" ht="15.75" x14ac:dyDescent="0.25">
      <c r="A564" s="7" t="s">
        <v>204</v>
      </c>
      <c r="B564" s="6" t="s">
        <v>184</v>
      </c>
      <c r="C564" s="4">
        <v>10084382</v>
      </c>
    </row>
    <row r="565" spans="1:3" ht="15.75" x14ac:dyDescent="0.25">
      <c r="A565" s="7" t="s">
        <v>129</v>
      </c>
      <c r="B565" s="6" t="s">
        <v>130</v>
      </c>
      <c r="C565" s="4">
        <v>10024484</v>
      </c>
    </row>
    <row r="566" spans="1:3" ht="15.75" x14ac:dyDescent="0.25">
      <c r="A566" s="7" t="s">
        <v>226</v>
      </c>
      <c r="B566" s="6" t="s">
        <v>227</v>
      </c>
      <c r="C566" s="4">
        <v>10151764</v>
      </c>
    </row>
    <row r="567" spans="1:3" ht="15.75" x14ac:dyDescent="0.25">
      <c r="A567" s="7" t="s">
        <v>181</v>
      </c>
      <c r="B567" s="6" t="s">
        <v>182</v>
      </c>
      <c r="C567" s="4">
        <v>10055528</v>
      </c>
    </row>
    <row r="568" spans="1:3" ht="15.75" x14ac:dyDescent="0.25">
      <c r="A568" s="7" t="s">
        <v>220</v>
      </c>
      <c r="B568" s="6" t="s">
        <v>221</v>
      </c>
      <c r="C568" s="4">
        <v>10151732</v>
      </c>
    </row>
    <row r="569" spans="1:3" ht="15.75" x14ac:dyDescent="0.25">
      <c r="A569" s="7" t="s">
        <v>151</v>
      </c>
      <c r="B569" s="6" t="s">
        <v>152</v>
      </c>
      <c r="C569" s="4">
        <v>10065855</v>
      </c>
    </row>
    <row r="570" spans="1:3" ht="15.75" x14ac:dyDescent="0.25">
      <c r="A570" s="7" t="s">
        <v>131</v>
      </c>
      <c r="B570" s="6" t="s">
        <v>132</v>
      </c>
      <c r="C570" s="4">
        <v>10055276</v>
      </c>
    </row>
    <row r="571" spans="1:3" ht="15.75" x14ac:dyDescent="0.25">
      <c r="A571" s="7" t="s">
        <v>190</v>
      </c>
      <c r="B571" s="6" t="s">
        <v>191</v>
      </c>
      <c r="C571" s="4">
        <v>10085699</v>
      </c>
    </row>
    <row r="572" spans="1:3" ht="15.75" x14ac:dyDescent="0.25">
      <c r="A572" s="7" t="s">
        <v>179</v>
      </c>
      <c r="B572" s="6" t="s">
        <v>180</v>
      </c>
      <c r="C572" s="4">
        <v>10055527</v>
      </c>
    </row>
    <row r="573" spans="1:3" ht="15.75" x14ac:dyDescent="0.25">
      <c r="A573" s="7" t="s">
        <v>253</v>
      </c>
      <c r="B573" s="6" t="s">
        <v>254</v>
      </c>
      <c r="C573" s="4">
        <v>10148715</v>
      </c>
    </row>
    <row r="574" spans="1:3" ht="15.75" x14ac:dyDescent="0.25">
      <c r="A574" s="7" t="s">
        <v>177</v>
      </c>
      <c r="B574" s="6" t="s">
        <v>178</v>
      </c>
      <c r="C574" s="4">
        <v>10055526</v>
      </c>
    </row>
    <row r="575" spans="1:3" ht="15.75" x14ac:dyDescent="0.25">
      <c r="A575" s="7" t="s">
        <v>194</v>
      </c>
      <c r="B575" s="6" t="s">
        <v>178</v>
      </c>
      <c r="C575" s="4">
        <v>10150231</v>
      </c>
    </row>
    <row r="576" spans="1:3" ht="15.75" x14ac:dyDescent="0.25">
      <c r="A576" s="7" t="s">
        <v>212</v>
      </c>
      <c r="B576" s="6" t="s">
        <v>213</v>
      </c>
      <c r="C576" s="4">
        <v>10126263</v>
      </c>
    </row>
    <row r="577" spans="1:3" ht="15.75" x14ac:dyDescent="0.25">
      <c r="A577" s="7" t="s">
        <v>157</v>
      </c>
      <c r="B577" s="6" t="s">
        <v>158</v>
      </c>
      <c r="C577" s="4">
        <v>10055419</v>
      </c>
    </row>
    <row r="578" spans="1:3" ht="15.75" x14ac:dyDescent="0.25">
      <c r="A578" s="7" t="s">
        <v>209</v>
      </c>
      <c r="B578" s="6" t="s">
        <v>206</v>
      </c>
      <c r="C578" s="4">
        <v>10089539</v>
      </c>
    </row>
    <row r="579" spans="1:3" ht="15.75" x14ac:dyDescent="0.25">
      <c r="A579" s="7" t="s">
        <v>205</v>
      </c>
      <c r="B579" s="6" t="s">
        <v>206</v>
      </c>
      <c r="C579" s="4">
        <v>10129174</v>
      </c>
    </row>
    <row r="580" spans="1:3" ht="15.75" x14ac:dyDescent="0.25">
      <c r="A580" s="7" t="s">
        <v>203</v>
      </c>
      <c r="B580" s="6" t="s">
        <v>136</v>
      </c>
      <c r="C580" s="4">
        <v>10085700</v>
      </c>
    </row>
    <row r="581" spans="1:3" ht="15.75" x14ac:dyDescent="0.25">
      <c r="A581" s="7" t="s">
        <v>135</v>
      </c>
      <c r="B581" s="6" t="s">
        <v>136</v>
      </c>
      <c r="C581" s="4">
        <v>10085750</v>
      </c>
    </row>
    <row r="582" spans="1:3" ht="15.75" x14ac:dyDescent="0.25">
      <c r="A582" s="7" t="s">
        <v>124</v>
      </c>
      <c r="B582" s="6" t="s">
        <v>125</v>
      </c>
      <c r="C582" s="4">
        <v>10011396</v>
      </c>
    </row>
    <row r="583" spans="1:3" ht="15.75" x14ac:dyDescent="0.25">
      <c r="A583" s="7" t="s">
        <v>145</v>
      </c>
      <c r="B583" s="6" t="s">
        <v>146</v>
      </c>
      <c r="C583" s="4">
        <v>10007191</v>
      </c>
    </row>
    <row r="584" spans="1:3" ht="15.75" x14ac:dyDescent="0.25">
      <c r="A584" s="7" t="s">
        <v>122</v>
      </c>
      <c r="B584" s="6" t="s">
        <v>123</v>
      </c>
      <c r="C584" s="4">
        <v>10006635</v>
      </c>
    </row>
    <row r="585" spans="1:3" ht="15.75" x14ac:dyDescent="0.25">
      <c r="A585" s="7" t="s">
        <v>126</v>
      </c>
      <c r="B585" s="6" t="s">
        <v>123</v>
      </c>
      <c r="C585" s="4">
        <v>10006636</v>
      </c>
    </row>
    <row r="586" spans="1:3" ht="15.75" x14ac:dyDescent="0.25">
      <c r="A586" s="7" t="s">
        <v>137</v>
      </c>
      <c r="B586" s="6" t="s">
        <v>138</v>
      </c>
      <c r="C586" s="4">
        <v>10026198</v>
      </c>
    </row>
    <row r="587" spans="1:3" ht="15.75" x14ac:dyDescent="0.25">
      <c r="A587" s="7" t="s">
        <v>248</v>
      </c>
      <c r="B587" s="6" t="s">
        <v>249</v>
      </c>
      <c r="C587" s="4">
        <v>10120115</v>
      </c>
    </row>
    <row r="588" spans="1:3" ht="15.75" x14ac:dyDescent="0.25">
      <c r="A588" s="7" t="s">
        <v>149</v>
      </c>
      <c r="B588" s="6" t="s">
        <v>150</v>
      </c>
      <c r="C588" s="4">
        <v>10041383</v>
      </c>
    </row>
    <row r="589" spans="1:3" ht="15.75" x14ac:dyDescent="0.25">
      <c r="A589" s="7" t="s">
        <v>255</v>
      </c>
      <c r="B589" s="6" t="s">
        <v>256</v>
      </c>
      <c r="C589" s="4">
        <v>10139720</v>
      </c>
    </row>
    <row r="590" spans="1:3" ht="15.75" x14ac:dyDescent="0.25">
      <c r="A590" s="7" t="s">
        <v>229</v>
      </c>
      <c r="B590" s="6" t="s">
        <v>230</v>
      </c>
      <c r="C590" s="4">
        <v>10050616</v>
      </c>
    </row>
    <row r="591" spans="1:3" ht="15.75" x14ac:dyDescent="0.25">
      <c r="A591" s="7" t="s">
        <v>165</v>
      </c>
      <c r="B591" s="6" t="s">
        <v>166</v>
      </c>
      <c r="C591" s="4">
        <v>10065523</v>
      </c>
    </row>
    <row r="592" spans="1:3" ht="15.75" x14ac:dyDescent="0.25">
      <c r="A592" s="7" t="s">
        <v>159</v>
      </c>
      <c r="B592" s="6" t="s">
        <v>160</v>
      </c>
      <c r="C592" s="4">
        <v>10016701</v>
      </c>
    </row>
    <row r="593" spans="1:3" ht="15.75" x14ac:dyDescent="0.25">
      <c r="A593" s="7" t="s">
        <v>192</v>
      </c>
      <c r="B593" s="6" t="s">
        <v>193</v>
      </c>
      <c r="C593" s="4">
        <v>10029500</v>
      </c>
    </row>
    <row r="594" spans="1:3" ht="15.75" x14ac:dyDescent="0.25">
      <c r="A594" s="7" t="s">
        <v>1337</v>
      </c>
      <c r="B594" s="6" t="s">
        <v>1338</v>
      </c>
      <c r="C594" s="4">
        <v>10089745</v>
      </c>
    </row>
    <row r="595" spans="1:3" ht="15.75" x14ac:dyDescent="0.25">
      <c r="A595" s="7" t="s">
        <v>273</v>
      </c>
      <c r="B595" s="6" t="s">
        <v>274</v>
      </c>
      <c r="C595" s="4">
        <v>10082468</v>
      </c>
    </row>
    <row r="596" spans="1:3" ht="15.75" x14ac:dyDescent="0.25">
      <c r="A596" s="7" t="s">
        <v>365</v>
      </c>
      <c r="B596" s="6" t="s">
        <v>274</v>
      </c>
      <c r="C596" s="4">
        <v>10088121</v>
      </c>
    </row>
    <row r="597" spans="1:3" ht="15.75" x14ac:dyDescent="0.25">
      <c r="A597" s="7" t="s">
        <v>363</v>
      </c>
      <c r="B597" s="6" t="s">
        <v>364</v>
      </c>
      <c r="C597" s="4">
        <v>10093186</v>
      </c>
    </row>
    <row r="598" spans="1:3" ht="15.75" x14ac:dyDescent="0.25">
      <c r="A598" s="7" t="s">
        <v>2035</v>
      </c>
      <c r="B598" s="6" t="s">
        <v>2036</v>
      </c>
      <c r="C598" s="4">
        <v>10088122</v>
      </c>
    </row>
    <row r="599" spans="1:3" ht="15.75" x14ac:dyDescent="0.25">
      <c r="A599" s="7" t="s">
        <v>371</v>
      </c>
      <c r="B599" s="6" t="s">
        <v>372</v>
      </c>
      <c r="C599" s="4">
        <v>10027251</v>
      </c>
    </row>
    <row r="600" spans="1:3" ht="15.75" x14ac:dyDescent="0.25">
      <c r="A600" s="7" t="s">
        <v>1339</v>
      </c>
      <c r="B600" s="6" t="s">
        <v>1340</v>
      </c>
      <c r="C600" s="4">
        <v>10011408</v>
      </c>
    </row>
    <row r="601" spans="1:3" ht="15.75" x14ac:dyDescent="0.25">
      <c r="A601" s="7" t="s">
        <v>1341</v>
      </c>
      <c r="B601" s="6" t="s">
        <v>1342</v>
      </c>
      <c r="C601" s="4">
        <v>10011340</v>
      </c>
    </row>
    <row r="602" spans="1:3" ht="15.75" x14ac:dyDescent="0.25">
      <c r="A602" s="7" t="s">
        <v>1343</v>
      </c>
      <c r="B602" s="6" t="s">
        <v>1344</v>
      </c>
      <c r="C602" s="4">
        <v>10050636</v>
      </c>
    </row>
    <row r="603" spans="1:3" ht="15.75" x14ac:dyDescent="0.25">
      <c r="A603" s="7" t="s">
        <v>639</v>
      </c>
      <c r="B603" s="6" t="s">
        <v>640</v>
      </c>
      <c r="C603" s="4">
        <v>10144957</v>
      </c>
    </row>
    <row r="604" spans="1:3" ht="15.75" x14ac:dyDescent="0.25">
      <c r="A604" s="7" t="s">
        <v>1345</v>
      </c>
      <c r="B604" s="6" t="s">
        <v>1346</v>
      </c>
      <c r="C604" s="4">
        <v>10050734</v>
      </c>
    </row>
    <row r="605" spans="1:3" ht="15.75" x14ac:dyDescent="0.25">
      <c r="A605" s="7" t="s">
        <v>2037</v>
      </c>
      <c r="B605" s="6" t="s">
        <v>2038</v>
      </c>
      <c r="C605" s="4">
        <v>10099046</v>
      </c>
    </row>
    <row r="606" spans="1:3" ht="15.75" x14ac:dyDescent="0.25">
      <c r="A606" s="7" t="s">
        <v>1137</v>
      </c>
      <c r="B606" s="6" t="s">
        <v>1138</v>
      </c>
      <c r="C606" s="4">
        <v>10020389</v>
      </c>
    </row>
    <row r="607" spans="1:3" ht="15.75" x14ac:dyDescent="0.25">
      <c r="A607" s="7" t="s">
        <v>2039</v>
      </c>
      <c r="B607" s="6" t="s">
        <v>2040</v>
      </c>
      <c r="C607" s="4">
        <v>10087224</v>
      </c>
    </row>
    <row r="608" spans="1:3" ht="15.75" x14ac:dyDescent="0.25">
      <c r="A608" s="7" t="s">
        <v>699</v>
      </c>
      <c r="B608" s="6" t="s">
        <v>700</v>
      </c>
      <c r="C608" s="4">
        <v>10100583</v>
      </c>
    </row>
    <row r="609" spans="1:3" ht="15.75" x14ac:dyDescent="0.25">
      <c r="A609" s="7" t="s">
        <v>982</v>
      </c>
      <c r="B609" s="6" t="s">
        <v>983</v>
      </c>
      <c r="C609" s="4">
        <v>10083825</v>
      </c>
    </row>
    <row r="610" spans="1:3" ht="15.75" x14ac:dyDescent="0.25">
      <c r="A610" s="7" t="s">
        <v>1060</v>
      </c>
      <c r="B610" s="6" t="s">
        <v>1061</v>
      </c>
      <c r="C610" s="4">
        <v>10145517</v>
      </c>
    </row>
    <row r="611" spans="1:3" ht="15.75" x14ac:dyDescent="0.25">
      <c r="A611" s="7" t="s">
        <v>1000</v>
      </c>
      <c r="B611" s="6" t="s">
        <v>1001</v>
      </c>
      <c r="C611" s="4">
        <v>10098067</v>
      </c>
    </row>
    <row r="612" spans="1:3" ht="15.75" x14ac:dyDescent="0.25">
      <c r="A612" s="7" t="s">
        <v>1093</v>
      </c>
      <c r="B612" s="6" t="s">
        <v>1094</v>
      </c>
      <c r="C612" s="4">
        <v>10104601</v>
      </c>
    </row>
    <row r="613" spans="1:3" ht="15.75" x14ac:dyDescent="0.25">
      <c r="A613" s="7" t="s">
        <v>1347</v>
      </c>
      <c r="B613" s="6" t="s">
        <v>1348</v>
      </c>
      <c r="C613" s="4">
        <v>10040815</v>
      </c>
    </row>
    <row r="614" spans="1:3" ht="15.75" x14ac:dyDescent="0.25">
      <c r="A614" s="7" t="s">
        <v>1872</v>
      </c>
      <c r="B614" s="6" t="s">
        <v>1873</v>
      </c>
      <c r="C614" s="4">
        <v>10022619</v>
      </c>
    </row>
    <row r="615" spans="1:3" ht="15.75" x14ac:dyDescent="0.25">
      <c r="A615" s="7" t="s">
        <v>1851</v>
      </c>
      <c r="B615" s="6" t="s">
        <v>1852</v>
      </c>
      <c r="C615" s="4">
        <v>10153848</v>
      </c>
    </row>
    <row r="616" spans="1:3" ht="15.75" x14ac:dyDescent="0.25">
      <c r="A616" s="7" t="s">
        <v>1349</v>
      </c>
      <c r="B616" s="6" t="s">
        <v>1350</v>
      </c>
      <c r="C616" s="4">
        <v>10030857</v>
      </c>
    </row>
    <row r="617" spans="1:3" ht="15.75" x14ac:dyDescent="0.25">
      <c r="A617" s="7" t="s">
        <v>1351</v>
      </c>
      <c r="B617" s="6" t="s">
        <v>1352</v>
      </c>
      <c r="C617" s="4">
        <v>10005223</v>
      </c>
    </row>
    <row r="618" spans="1:3" ht="15.75" x14ac:dyDescent="0.25">
      <c r="A618" s="7" t="s">
        <v>1353</v>
      </c>
      <c r="B618" s="6" t="s">
        <v>1354</v>
      </c>
      <c r="C618" s="4">
        <v>10045923</v>
      </c>
    </row>
    <row r="619" spans="1:3" ht="15.75" x14ac:dyDescent="0.25">
      <c r="A619" s="7" t="s">
        <v>1355</v>
      </c>
      <c r="B619" s="6" t="s">
        <v>1356</v>
      </c>
      <c r="C619" s="4">
        <v>10010865</v>
      </c>
    </row>
    <row r="620" spans="1:3" ht="15.75" x14ac:dyDescent="0.25">
      <c r="A620" s="7" t="s">
        <v>1357</v>
      </c>
      <c r="B620" s="6" t="s">
        <v>1358</v>
      </c>
      <c r="C620" s="4">
        <v>10003485</v>
      </c>
    </row>
    <row r="621" spans="1:3" ht="15.75" x14ac:dyDescent="0.25">
      <c r="A621" s="7" t="s">
        <v>1359</v>
      </c>
      <c r="B621" s="6" t="s">
        <v>1360</v>
      </c>
      <c r="C621" s="4">
        <v>10122629</v>
      </c>
    </row>
    <row r="622" spans="1:3" ht="15.75" x14ac:dyDescent="0.25">
      <c r="A622" s="7" t="s">
        <v>1361</v>
      </c>
      <c r="B622" s="6" t="s">
        <v>1362</v>
      </c>
      <c r="C622" s="4">
        <v>10000059</v>
      </c>
    </row>
    <row r="623" spans="1:3" ht="15.75" x14ac:dyDescent="0.25">
      <c r="A623" s="7" t="s">
        <v>1363</v>
      </c>
      <c r="B623" s="6" t="s">
        <v>1364</v>
      </c>
      <c r="C623" s="4">
        <v>10058675</v>
      </c>
    </row>
    <row r="624" spans="1:3" ht="15.75" x14ac:dyDescent="0.25">
      <c r="A624" s="7" t="s">
        <v>1365</v>
      </c>
      <c r="B624" s="6" t="s">
        <v>1366</v>
      </c>
      <c r="C624" s="4">
        <v>10019462</v>
      </c>
    </row>
    <row r="625" spans="1:3" ht="15.75" x14ac:dyDescent="0.25">
      <c r="A625" s="7" t="s">
        <v>1862</v>
      </c>
      <c r="B625" s="6" t="s">
        <v>1863</v>
      </c>
      <c r="C625" s="4">
        <v>10007273</v>
      </c>
    </row>
    <row r="626" spans="1:3" ht="15.75" x14ac:dyDescent="0.25">
      <c r="A626" s="7" t="s">
        <v>1856</v>
      </c>
      <c r="B626" s="6" t="s">
        <v>1857</v>
      </c>
      <c r="C626" s="4">
        <v>10002163</v>
      </c>
    </row>
    <row r="627" spans="1:3" ht="15.75" x14ac:dyDescent="0.25">
      <c r="A627" s="7" t="s">
        <v>1367</v>
      </c>
      <c r="B627" s="6" t="s">
        <v>1368</v>
      </c>
      <c r="C627" s="4">
        <v>10033701</v>
      </c>
    </row>
    <row r="628" spans="1:3" ht="15.75" x14ac:dyDescent="0.25">
      <c r="A628" s="7" t="s">
        <v>1369</v>
      </c>
      <c r="B628" s="6" t="s">
        <v>1370</v>
      </c>
      <c r="C628" s="4">
        <v>10017589</v>
      </c>
    </row>
    <row r="629" spans="1:3" ht="15.75" x14ac:dyDescent="0.25">
      <c r="A629" s="7" t="s">
        <v>1371</v>
      </c>
      <c r="B629" s="6" t="s">
        <v>1372</v>
      </c>
      <c r="C629" s="4">
        <v>10157924</v>
      </c>
    </row>
    <row r="630" spans="1:3" ht="15.75" x14ac:dyDescent="0.25">
      <c r="A630" s="7" t="s">
        <v>2041</v>
      </c>
      <c r="B630" s="6" t="s">
        <v>2042</v>
      </c>
      <c r="C630" s="4">
        <v>10153941</v>
      </c>
    </row>
    <row r="631" spans="1:3" ht="15.75" x14ac:dyDescent="0.25">
      <c r="A631" s="7" t="s">
        <v>502</v>
      </c>
      <c r="B631" s="6" t="s">
        <v>503</v>
      </c>
      <c r="C631" s="4">
        <v>10107138</v>
      </c>
    </row>
    <row r="632" spans="1:3" ht="15.75" x14ac:dyDescent="0.25">
      <c r="A632" s="7" t="s">
        <v>1008</v>
      </c>
      <c r="B632" s="6" t="s">
        <v>1009</v>
      </c>
      <c r="C632" s="4">
        <v>10037474</v>
      </c>
    </row>
    <row r="633" spans="1:3" ht="15.75" x14ac:dyDescent="0.25">
      <c r="A633" s="7" t="s">
        <v>759</v>
      </c>
      <c r="B633" s="6" t="s">
        <v>760</v>
      </c>
      <c r="C633" s="4">
        <v>10119721</v>
      </c>
    </row>
    <row r="634" spans="1:3" ht="15.75" x14ac:dyDescent="0.25">
      <c r="A634" s="7" t="s">
        <v>333</v>
      </c>
      <c r="B634" s="6" t="s">
        <v>334</v>
      </c>
      <c r="C634" s="4">
        <v>10044931</v>
      </c>
    </row>
    <row r="635" spans="1:3" ht="15.75" x14ac:dyDescent="0.25">
      <c r="A635" s="7" t="s">
        <v>867</v>
      </c>
      <c r="B635" s="6" t="s">
        <v>868</v>
      </c>
      <c r="C635" s="4">
        <v>10089237</v>
      </c>
    </row>
    <row r="636" spans="1:3" ht="15.75" x14ac:dyDescent="0.25">
      <c r="A636" s="7" t="s">
        <v>337</v>
      </c>
      <c r="B636" s="6" t="s">
        <v>338</v>
      </c>
      <c r="C636" s="4">
        <v>10032511</v>
      </c>
    </row>
    <row r="637" spans="1:3" ht="15.75" x14ac:dyDescent="0.25">
      <c r="A637" s="7" t="s">
        <v>327</v>
      </c>
      <c r="B637" s="6" t="s">
        <v>328</v>
      </c>
      <c r="C637" s="4">
        <v>10138622</v>
      </c>
    </row>
    <row r="638" spans="1:3" ht="15.75" x14ac:dyDescent="0.25">
      <c r="A638" s="7" t="s">
        <v>325</v>
      </c>
      <c r="B638" s="6" t="s">
        <v>326</v>
      </c>
      <c r="C638" s="4">
        <v>10017454</v>
      </c>
    </row>
    <row r="639" spans="1:3" ht="15.75" x14ac:dyDescent="0.25">
      <c r="A639" s="7" t="s">
        <v>1373</v>
      </c>
      <c r="B639" s="6" t="s">
        <v>1374</v>
      </c>
      <c r="C639" s="4">
        <v>10046812</v>
      </c>
    </row>
    <row r="640" spans="1:3" ht="15.75" x14ac:dyDescent="0.25">
      <c r="A640" s="7" t="s">
        <v>1375</v>
      </c>
      <c r="B640" s="6" t="s">
        <v>1376</v>
      </c>
      <c r="C640" s="4">
        <v>10138633</v>
      </c>
    </row>
    <row r="641" spans="1:3" ht="15.75" x14ac:dyDescent="0.25">
      <c r="A641" s="7" t="s">
        <v>1377</v>
      </c>
      <c r="B641" s="6" t="s">
        <v>1378</v>
      </c>
      <c r="C641" s="4">
        <v>10127621</v>
      </c>
    </row>
    <row r="642" spans="1:3" ht="15.75" x14ac:dyDescent="0.25">
      <c r="A642" s="7" t="s">
        <v>1379</v>
      </c>
      <c r="B642" s="6" t="s">
        <v>1380</v>
      </c>
      <c r="C642" s="4">
        <v>10076876</v>
      </c>
    </row>
    <row r="643" spans="1:3" ht="15.75" x14ac:dyDescent="0.25">
      <c r="A643" s="7" t="s">
        <v>978</v>
      </c>
      <c r="B643" s="6" t="s">
        <v>979</v>
      </c>
      <c r="C643" s="4">
        <v>10096824</v>
      </c>
    </row>
    <row r="644" spans="1:3" ht="15.75" x14ac:dyDescent="0.25">
      <c r="A644" s="7" t="s">
        <v>986</v>
      </c>
      <c r="B644" s="6" t="s">
        <v>987</v>
      </c>
      <c r="C644" s="4">
        <v>10145076</v>
      </c>
    </row>
    <row r="645" spans="1:3" ht="15.75" x14ac:dyDescent="0.25">
      <c r="A645" s="7" t="s">
        <v>988</v>
      </c>
      <c r="B645" s="6" t="s">
        <v>989</v>
      </c>
      <c r="C645" s="4">
        <v>10095069</v>
      </c>
    </row>
    <row r="646" spans="1:3" ht="15.75" x14ac:dyDescent="0.25">
      <c r="A646" s="7" t="s">
        <v>1381</v>
      </c>
      <c r="B646" s="6" t="s">
        <v>1382</v>
      </c>
      <c r="C646" s="4">
        <v>10083710</v>
      </c>
    </row>
    <row r="647" spans="1:3" ht="15.75" x14ac:dyDescent="0.25">
      <c r="A647" s="7" t="s">
        <v>634</v>
      </c>
      <c r="B647" s="6" t="s">
        <v>635</v>
      </c>
      <c r="C647" s="4">
        <v>10139163</v>
      </c>
    </row>
    <row r="648" spans="1:3" ht="15.75" x14ac:dyDescent="0.25">
      <c r="A648" s="7" t="s">
        <v>2043</v>
      </c>
      <c r="B648" s="6" t="s">
        <v>2044</v>
      </c>
      <c r="C648" s="4">
        <v>10098289</v>
      </c>
    </row>
    <row r="649" spans="1:3" ht="15.75" x14ac:dyDescent="0.25">
      <c r="A649" s="7" t="s">
        <v>2045</v>
      </c>
      <c r="B649" s="6" t="s">
        <v>2046</v>
      </c>
      <c r="C649" s="4">
        <v>10102067</v>
      </c>
    </row>
    <row r="650" spans="1:3" ht="15.75" x14ac:dyDescent="0.25">
      <c r="A650" s="7" t="s">
        <v>83</v>
      </c>
      <c r="B650" s="6" t="s">
        <v>84</v>
      </c>
      <c r="C650" s="4">
        <v>10025235</v>
      </c>
    </row>
    <row r="651" spans="1:3" ht="15.75" x14ac:dyDescent="0.25">
      <c r="A651" s="7" t="s">
        <v>1383</v>
      </c>
      <c r="B651" s="6" t="s">
        <v>1384</v>
      </c>
      <c r="C651" s="4">
        <v>10089016</v>
      </c>
    </row>
    <row r="652" spans="1:3" ht="15.75" x14ac:dyDescent="0.25">
      <c r="A652" s="7" t="s">
        <v>12</v>
      </c>
      <c r="B652" s="6" t="s">
        <v>1849</v>
      </c>
      <c r="C652" s="4">
        <v>10083027</v>
      </c>
    </row>
    <row r="653" spans="1:3" ht="15.75" x14ac:dyDescent="0.25">
      <c r="A653" s="7" t="s">
        <v>1385</v>
      </c>
      <c r="B653" s="6" t="s">
        <v>1386</v>
      </c>
      <c r="C653" s="4">
        <v>10089015</v>
      </c>
    </row>
    <row r="654" spans="1:3" ht="15.75" x14ac:dyDescent="0.25">
      <c r="A654" s="7" t="s">
        <v>1387</v>
      </c>
      <c r="B654" s="6" t="s">
        <v>1388</v>
      </c>
      <c r="C654" s="4">
        <v>10095577</v>
      </c>
    </row>
    <row r="655" spans="1:3" ht="15.75" x14ac:dyDescent="0.25">
      <c r="A655" s="7" t="s">
        <v>1389</v>
      </c>
      <c r="B655" s="6" t="s">
        <v>1390</v>
      </c>
      <c r="C655" s="4">
        <v>10092427</v>
      </c>
    </row>
    <row r="656" spans="1:3" ht="15.75" x14ac:dyDescent="0.25">
      <c r="A656" s="7" t="s">
        <v>1391</v>
      </c>
      <c r="B656" s="6" t="s">
        <v>1392</v>
      </c>
      <c r="C656" s="4">
        <v>10058677</v>
      </c>
    </row>
    <row r="657" spans="1:3" ht="15.75" x14ac:dyDescent="0.25">
      <c r="A657" s="7" t="s">
        <v>1393</v>
      </c>
      <c r="B657" s="6" t="s">
        <v>1394</v>
      </c>
      <c r="C657" s="4">
        <v>10029915</v>
      </c>
    </row>
    <row r="658" spans="1:3" ht="15.75" x14ac:dyDescent="0.25">
      <c r="A658" s="7" t="s">
        <v>1395</v>
      </c>
      <c r="B658" s="6" t="s">
        <v>1396</v>
      </c>
      <c r="C658" s="4">
        <v>10086805</v>
      </c>
    </row>
    <row r="659" spans="1:3" ht="15.75" x14ac:dyDescent="0.25">
      <c r="A659" s="7" t="s">
        <v>1397</v>
      </c>
      <c r="B659" s="6" t="s">
        <v>1398</v>
      </c>
      <c r="C659" s="4">
        <v>10149762</v>
      </c>
    </row>
    <row r="660" spans="1:3" ht="15.75" x14ac:dyDescent="0.25">
      <c r="A660" s="7" t="s">
        <v>1399</v>
      </c>
      <c r="B660" s="6" t="s">
        <v>1400</v>
      </c>
      <c r="C660" s="4">
        <v>10131760</v>
      </c>
    </row>
    <row r="661" spans="1:3" ht="15.75" x14ac:dyDescent="0.25">
      <c r="A661" s="7" t="s">
        <v>1401</v>
      </c>
      <c r="B661" s="6" t="s">
        <v>1402</v>
      </c>
      <c r="C661" s="4">
        <v>10051962</v>
      </c>
    </row>
    <row r="662" spans="1:3" ht="15.75" x14ac:dyDescent="0.25">
      <c r="A662" s="7" t="s">
        <v>1403</v>
      </c>
      <c r="B662" s="6" t="s">
        <v>1404</v>
      </c>
      <c r="C662" s="4">
        <v>10049403</v>
      </c>
    </row>
    <row r="663" spans="1:3" ht="15.75" x14ac:dyDescent="0.25">
      <c r="A663" s="7" t="s">
        <v>1405</v>
      </c>
      <c r="B663" s="6" t="s">
        <v>1406</v>
      </c>
      <c r="C663" s="4">
        <v>10031496</v>
      </c>
    </row>
    <row r="664" spans="1:3" ht="15.75" x14ac:dyDescent="0.25">
      <c r="A664" s="7" t="s">
        <v>1407</v>
      </c>
      <c r="B664" s="6" t="s">
        <v>1408</v>
      </c>
      <c r="C664" s="4">
        <v>10129243</v>
      </c>
    </row>
    <row r="665" spans="1:3" ht="15.75" x14ac:dyDescent="0.25">
      <c r="A665" s="7" t="s">
        <v>1409</v>
      </c>
      <c r="B665" s="6" t="s">
        <v>1410</v>
      </c>
      <c r="C665" s="4">
        <v>10020112</v>
      </c>
    </row>
    <row r="666" spans="1:3" ht="15.75" x14ac:dyDescent="0.25">
      <c r="A666" s="7" t="s">
        <v>1412</v>
      </c>
      <c r="B666" s="6" t="s">
        <v>1411</v>
      </c>
      <c r="C666" s="4">
        <v>10017790</v>
      </c>
    </row>
    <row r="667" spans="1:3" ht="15.75" x14ac:dyDescent="0.25">
      <c r="A667" s="7" t="s">
        <v>1413</v>
      </c>
      <c r="B667" s="6" t="s">
        <v>1414</v>
      </c>
      <c r="C667" s="4">
        <v>10098422</v>
      </c>
    </row>
    <row r="668" spans="1:3" ht="15.75" x14ac:dyDescent="0.25">
      <c r="A668" s="7" t="s">
        <v>1866</v>
      </c>
      <c r="B668" s="6" t="s">
        <v>1867</v>
      </c>
      <c r="C668" s="4">
        <v>10033253</v>
      </c>
    </row>
    <row r="669" spans="1:3" ht="15.75" x14ac:dyDescent="0.25">
      <c r="A669" s="7" t="s">
        <v>1415</v>
      </c>
      <c r="B669" s="6" t="s">
        <v>1416</v>
      </c>
      <c r="C669" s="4">
        <v>10115783</v>
      </c>
    </row>
    <row r="670" spans="1:3" ht="15.75" x14ac:dyDescent="0.25">
      <c r="A670" s="7" t="s">
        <v>585</v>
      </c>
      <c r="B670" s="6" t="s">
        <v>586</v>
      </c>
      <c r="C670" s="4">
        <v>10123354</v>
      </c>
    </row>
    <row r="671" spans="1:3" ht="15.75" x14ac:dyDescent="0.25">
      <c r="A671" s="7" t="s">
        <v>1058</v>
      </c>
      <c r="B671" s="6" t="s">
        <v>1059</v>
      </c>
      <c r="C671" s="4">
        <v>10092915</v>
      </c>
    </row>
    <row r="672" spans="1:3" ht="15.75" x14ac:dyDescent="0.25">
      <c r="A672" s="7" t="s">
        <v>1417</v>
      </c>
      <c r="B672" s="6" t="s">
        <v>1418</v>
      </c>
      <c r="C672" s="4">
        <v>10031590</v>
      </c>
    </row>
    <row r="673" spans="1:3" ht="15.75" x14ac:dyDescent="0.25">
      <c r="A673" s="7" t="s">
        <v>697</v>
      </c>
      <c r="B673" s="6" t="s">
        <v>698</v>
      </c>
      <c r="C673" s="4">
        <v>10123482</v>
      </c>
    </row>
    <row r="674" spans="1:3" ht="15.75" x14ac:dyDescent="0.25">
      <c r="A674" s="7" t="s">
        <v>1029</v>
      </c>
      <c r="B674" s="6" t="s">
        <v>1030</v>
      </c>
      <c r="C674" s="4">
        <v>10123575</v>
      </c>
    </row>
    <row r="675" spans="1:3" ht="15.75" x14ac:dyDescent="0.25">
      <c r="A675" s="7" t="s">
        <v>1076</v>
      </c>
      <c r="B675" s="6" t="s">
        <v>1077</v>
      </c>
      <c r="C675" s="4">
        <v>10112084</v>
      </c>
    </row>
    <row r="676" spans="1:3" ht="15.75" x14ac:dyDescent="0.25">
      <c r="A676" s="7" t="s">
        <v>1074</v>
      </c>
      <c r="B676" s="6" t="s">
        <v>1075</v>
      </c>
      <c r="C676" s="4">
        <v>10125054</v>
      </c>
    </row>
    <row r="677" spans="1:3" ht="15.75" x14ac:dyDescent="0.25">
      <c r="A677" s="7" t="s">
        <v>1072</v>
      </c>
      <c r="B677" s="6" t="s">
        <v>1073</v>
      </c>
      <c r="C677" s="4">
        <v>10097553</v>
      </c>
    </row>
    <row r="678" spans="1:3" ht="15.75" x14ac:dyDescent="0.25">
      <c r="A678" s="7" t="s">
        <v>1031</v>
      </c>
      <c r="B678" s="6" t="s">
        <v>1028</v>
      </c>
      <c r="C678" s="4">
        <v>10094746</v>
      </c>
    </row>
    <row r="679" spans="1:3" ht="15.75" x14ac:dyDescent="0.25">
      <c r="A679" s="7" t="s">
        <v>1027</v>
      </c>
      <c r="B679" s="6" t="s">
        <v>1028</v>
      </c>
      <c r="C679" s="4">
        <v>10107987</v>
      </c>
    </row>
    <row r="680" spans="1:3" ht="15.75" x14ac:dyDescent="0.25">
      <c r="A680" s="7" t="s">
        <v>1078</v>
      </c>
      <c r="B680" s="6" t="s">
        <v>1079</v>
      </c>
      <c r="C680" s="4">
        <v>10088525</v>
      </c>
    </row>
    <row r="681" spans="1:3" ht="15.75" x14ac:dyDescent="0.25">
      <c r="A681" s="7" t="s">
        <v>1016</v>
      </c>
      <c r="B681" s="6" t="s">
        <v>1017</v>
      </c>
      <c r="C681" s="4">
        <v>10095995</v>
      </c>
    </row>
    <row r="682" spans="1:3" ht="15.75" x14ac:dyDescent="0.25">
      <c r="A682" s="7" t="s">
        <v>1419</v>
      </c>
      <c r="B682" s="6" t="s">
        <v>1420</v>
      </c>
      <c r="C682" s="4">
        <v>10026909</v>
      </c>
    </row>
    <row r="683" spans="1:3" ht="15.75" x14ac:dyDescent="0.25">
      <c r="A683" s="7" t="s">
        <v>717</v>
      </c>
      <c r="B683" s="6" t="s">
        <v>718</v>
      </c>
      <c r="C683" s="4">
        <v>10096682</v>
      </c>
    </row>
    <row r="684" spans="1:3" ht="15.75" x14ac:dyDescent="0.25">
      <c r="A684" s="7" t="s">
        <v>1006</v>
      </c>
      <c r="B684" s="6" t="s">
        <v>1007</v>
      </c>
      <c r="C684" s="4">
        <v>10092700</v>
      </c>
    </row>
    <row r="685" spans="1:3" ht="15.75" x14ac:dyDescent="0.25">
      <c r="A685" s="7" t="s">
        <v>1099</v>
      </c>
      <c r="B685" s="6" t="s">
        <v>1100</v>
      </c>
      <c r="C685" s="4">
        <v>10104233</v>
      </c>
    </row>
    <row r="686" spans="1:3" ht="15.75" x14ac:dyDescent="0.25">
      <c r="A686" s="7" t="s">
        <v>391</v>
      </c>
      <c r="B686" s="6" t="s">
        <v>392</v>
      </c>
      <c r="C686" s="4">
        <v>10110682</v>
      </c>
    </row>
    <row r="687" spans="1:3" ht="15.75" x14ac:dyDescent="0.25">
      <c r="A687" s="7" t="s">
        <v>417</v>
      </c>
      <c r="B687" s="6" t="s">
        <v>418</v>
      </c>
      <c r="C687" s="4">
        <v>10091980</v>
      </c>
    </row>
    <row r="688" spans="1:3" ht="15.75" x14ac:dyDescent="0.25">
      <c r="A688" s="7" t="s">
        <v>952</v>
      </c>
      <c r="B688" s="6" t="s">
        <v>953</v>
      </c>
      <c r="C688" s="4">
        <v>10103546</v>
      </c>
    </row>
    <row r="689" spans="1:3" ht="15.75" x14ac:dyDescent="0.25">
      <c r="A689" s="7" t="s">
        <v>1421</v>
      </c>
      <c r="B689" s="6" t="s">
        <v>1422</v>
      </c>
      <c r="C689" s="4">
        <v>10025106</v>
      </c>
    </row>
    <row r="690" spans="1:3" ht="15.75" x14ac:dyDescent="0.25">
      <c r="A690" s="7" t="s">
        <v>765</v>
      </c>
      <c r="B690" s="6" t="s">
        <v>766</v>
      </c>
      <c r="C690" s="4">
        <v>10083863</v>
      </c>
    </row>
    <row r="691" spans="1:3" ht="15.75" x14ac:dyDescent="0.25">
      <c r="A691" s="7" t="s">
        <v>1021</v>
      </c>
      <c r="B691" s="6" t="s">
        <v>1022</v>
      </c>
      <c r="C691" s="4">
        <v>10121913</v>
      </c>
    </row>
    <row r="692" spans="1:3" ht="15.75" x14ac:dyDescent="0.25">
      <c r="A692" s="7" t="s">
        <v>1423</v>
      </c>
      <c r="B692" s="6" t="s">
        <v>1424</v>
      </c>
      <c r="C692" s="4">
        <v>10032273</v>
      </c>
    </row>
    <row r="693" spans="1:3" ht="15.75" x14ac:dyDescent="0.25">
      <c r="A693" s="7" t="s">
        <v>1425</v>
      </c>
      <c r="B693" s="6" t="s">
        <v>1426</v>
      </c>
      <c r="C693" s="4">
        <v>10060040</v>
      </c>
    </row>
    <row r="694" spans="1:3" ht="15.75" x14ac:dyDescent="0.25">
      <c r="A694" s="7" t="s">
        <v>1427</v>
      </c>
      <c r="B694" s="6" t="s">
        <v>1428</v>
      </c>
      <c r="C694" s="4">
        <v>10021342</v>
      </c>
    </row>
    <row r="695" spans="1:3" ht="15.75" x14ac:dyDescent="0.25">
      <c r="A695" s="7" t="s">
        <v>120</v>
      </c>
      <c r="B695" s="6" t="s">
        <v>121</v>
      </c>
      <c r="C695" s="4">
        <v>10052137</v>
      </c>
    </row>
    <row r="696" spans="1:3" ht="15.75" x14ac:dyDescent="0.25">
      <c r="A696" s="7" t="s">
        <v>161</v>
      </c>
      <c r="B696" s="6" t="s">
        <v>162</v>
      </c>
      <c r="C696" s="4">
        <v>10041969</v>
      </c>
    </row>
    <row r="697" spans="1:3" ht="15.75" x14ac:dyDescent="0.25">
      <c r="A697" s="7" t="s">
        <v>1429</v>
      </c>
      <c r="B697" s="6" t="s">
        <v>1430</v>
      </c>
      <c r="C697" s="4">
        <v>10039502</v>
      </c>
    </row>
    <row r="698" spans="1:3" ht="15.75" x14ac:dyDescent="0.25">
      <c r="A698" s="7" t="s">
        <v>1431</v>
      </c>
      <c r="B698" s="6" t="s">
        <v>1432</v>
      </c>
      <c r="C698" s="4">
        <v>10116208</v>
      </c>
    </row>
    <row r="699" spans="1:3" ht="15.75" x14ac:dyDescent="0.25">
      <c r="A699" s="7" t="s">
        <v>257</v>
      </c>
      <c r="B699" s="6" t="s">
        <v>258</v>
      </c>
      <c r="C699" s="4">
        <v>10152224</v>
      </c>
    </row>
    <row r="700" spans="1:3" ht="15.75" x14ac:dyDescent="0.25">
      <c r="A700" s="7" t="s">
        <v>1433</v>
      </c>
      <c r="B700" s="6" t="s">
        <v>1434</v>
      </c>
      <c r="C700" s="4">
        <v>10056913</v>
      </c>
    </row>
    <row r="701" spans="1:3" ht="15.75" x14ac:dyDescent="0.25">
      <c r="A701" s="7" t="s">
        <v>1435</v>
      </c>
      <c r="B701" s="6" t="s">
        <v>1436</v>
      </c>
      <c r="C701" s="4">
        <v>10014631</v>
      </c>
    </row>
    <row r="702" spans="1:3" ht="15.75" x14ac:dyDescent="0.25">
      <c r="A702" s="7" t="s">
        <v>897</v>
      </c>
      <c r="B702" s="6" t="s">
        <v>898</v>
      </c>
      <c r="C702" s="4">
        <v>10088807</v>
      </c>
    </row>
    <row r="703" spans="1:3" ht="15.75" x14ac:dyDescent="0.25">
      <c r="A703" s="7" t="s">
        <v>1437</v>
      </c>
      <c r="B703" s="6" t="s">
        <v>1438</v>
      </c>
      <c r="C703" s="4">
        <v>10025477</v>
      </c>
    </row>
    <row r="704" spans="1:3" ht="15.75" x14ac:dyDescent="0.25">
      <c r="A704" s="7" t="s">
        <v>1439</v>
      </c>
      <c r="B704" s="6" t="s">
        <v>1440</v>
      </c>
      <c r="C704" s="4">
        <v>10035383</v>
      </c>
    </row>
    <row r="705" spans="1:3" ht="15.75" x14ac:dyDescent="0.25">
      <c r="A705" s="7" t="s">
        <v>1441</v>
      </c>
      <c r="B705" s="6" t="s">
        <v>1442</v>
      </c>
      <c r="C705" s="4">
        <v>10011620</v>
      </c>
    </row>
    <row r="706" spans="1:3" ht="15.75" x14ac:dyDescent="0.25">
      <c r="A706" s="7" t="s">
        <v>1443</v>
      </c>
      <c r="B706" s="6" t="s">
        <v>1444</v>
      </c>
      <c r="C706" s="4">
        <v>10026165</v>
      </c>
    </row>
    <row r="707" spans="1:3" ht="15.75" x14ac:dyDescent="0.25">
      <c r="A707" s="7" t="s">
        <v>1445</v>
      </c>
      <c r="B707" s="6" t="s">
        <v>1446</v>
      </c>
      <c r="C707" s="4">
        <v>10097164</v>
      </c>
    </row>
    <row r="708" spans="1:3" ht="15.75" x14ac:dyDescent="0.25">
      <c r="A708" s="7" t="s">
        <v>624</v>
      </c>
      <c r="B708" s="6" t="s">
        <v>625</v>
      </c>
      <c r="C708" s="4">
        <v>10015142</v>
      </c>
    </row>
    <row r="709" spans="1:3" ht="15.75" x14ac:dyDescent="0.25">
      <c r="A709" s="7" t="s">
        <v>377</v>
      </c>
      <c r="B709" s="6" t="s">
        <v>378</v>
      </c>
      <c r="C709" s="4">
        <v>10088962</v>
      </c>
    </row>
    <row r="710" spans="1:3" ht="15.75" x14ac:dyDescent="0.25">
      <c r="A710" s="7" t="s">
        <v>375</v>
      </c>
      <c r="B710" s="6" t="s">
        <v>376</v>
      </c>
      <c r="C710" s="4">
        <v>10144456</v>
      </c>
    </row>
    <row r="711" spans="1:3" ht="15.75" x14ac:dyDescent="0.25">
      <c r="A711" s="7" t="s">
        <v>369</v>
      </c>
      <c r="B711" s="6" t="s">
        <v>370</v>
      </c>
      <c r="C711" s="4">
        <v>10125867</v>
      </c>
    </row>
    <row r="712" spans="1:3" ht="15.75" x14ac:dyDescent="0.25">
      <c r="A712" s="7" t="s">
        <v>749</v>
      </c>
      <c r="B712" s="6" t="s">
        <v>750</v>
      </c>
      <c r="C712" s="4">
        <v>10106023</v>
      </c>
    </row>
    <row r="713" spans="1:3" ht="15.75" x14ac:dyDescent="0.25">
      <c r="A713" s="7" t="s">
        <v>743</v>
      </c>
      <c r="B713" s="6" t="s">
        <v>744</v>
      </c>
      <c r="C713" s="4">
        <v>10086108</v>
      </c>
    </row>
    <row r="714" spans="1:3" ht="15.75" x14ac:dyDescent="0.25">
      <c r="A714" s="7" t="s">
        <v>707</v>
      </c>
      <c r="B714" s="6" t="s">
        <v>708</v>
      </c>
      <c r="C714" s="4">
        <v>10093472</v>
      </c>
    </row>
    <row r="715" spans="1:3" ht="15.75" x14ac:dyDescent="0.25">
      <c r="A715" s="7" t="s">
        <v>1050</v>
      </c>
      <c r="B715" s="6" t="s">
        <v>1051</v>
      </c>
      <c r="C715" s="4">
        <v>10116773</v>
      </c>
    </row>
    <row r="716" spans="1:3" ht="15.75" x14ac:dyDescent="0.25">
      <c r="A716" s="7" t="s">
        <v>757</v>
      </c>
      <c r="B716" s="6" t="s">
        <v>758</v>
      </c>
      <c r="C716" s="4">
        <v>10094909</v>
      </c>
    </row>
    <row r="717" spans="1:3" ht="15.75" x14ac:dyDescent="0.25">
      <c r="A717" s="7" t="s">
        <v>782</v>
      </c>
      <c r="B717" s="6" t="s">
        <v>783</v>
      </c>
      <c r="C717" s="4">
        <v>10085366</v>
      </c>
    </row>
    <row r="718" spans="1:3" ht="15.75" x14ac:dyDescent="0.25">
      <c r="A718" s="7" t="s">
        <v>776</v>
      </c>
      <c r="B718" s="6" t="s">
        <v>777</v>
      </c>
      <c r="C718" s="4">
        <v>10086205</v>
      </c>
    </row>
    <row r="719" spans="1:3" ht="15.75" x14ac:dyDescent="0.25">
      <c r="A719" s="7" t="s">
        <v>784</v>
      </c>
      <c r="B719" s="6" t="s">
        <v>785</v>
      </c>
      <c r="C719" s="4">
        <v>10086204</v>
      </c>
    </row>
    <row r="720" spans="1:3" ht="15.75" x14ac:dyDescent="0.25">
      <c r="A720" s="7" t="s">
        <v>780</v>
      </c>
      <c r="B720" s="6" t="s">
        <v>781</v>
      </c>
      <c r="C720" s="4">
        <v>10086207</v>
      </c>
    </row>
    <row r="721" spans="1:3" ht="15.75" x14ac:dyDescent="0.25">
      <c r="A721" s="7" t="s">
        <v>474</v>
      </c>
      <c r="B721" s="6" t="s">
        <v>475</v>
      </c>
      <c r="C721" s="4">
        <v>10135225</v>
      </c>
    </row>
    <row r="722" spans="1:3" ht="15.75" x14ac:dyDescent="0.25">
      <c r="A722" s="7" t="s">
        <v>1447</v>
      </c>
      <c r="B722" s="6" t="s">
        <v>1448</v>
      </c>
      <c r="C722" s="4">
        <v>10075750</v>
      </c>
    </row>
    <row r="723" spans="1:3" ht="15.75" x14ac:dyDescent="0.25">
      <c r="A723" s="7" t="s">
        <v>1449</v>
      </c>
      <c r="B723" s="6" t="s">
        <v>1450</v>
      </c>
      <c r="C723" s="4">
        <v>10039457</v>
      </c>
    </row>
    <row r="724" spans="1:3" ht="15.75" x14ac:dyDescent="0.25">
      <c r="A724" s="7" t="s">
        <v>2047</v>
      </c>
      <c r="B724" s="6" t="s">
        <v>2048</v>
      </c>
      <c r="C724" s="4">
        <v>10139554</v>
      </c>
    </row>
    <row r="725" spans="1:3" ht="15.75" x14ac:dyDescent="0.25">
      <c r="A725" s="7" t="s">
        <v>2049</v>
      </c>
      <c r="B725" s="6" t="s">
        <v>2050</v>
      </c>
      <c r="C725" s="4">
        <v>10043242</v>
      </c>
    </row>
    <row r="726" spans="1:3" ht="15.75" x14ac:dyDescent="0.25">
      <c r="A726" s="7" t="s">
        <v>2051</v>
      </c>
      <c r="B726" s="6" t="s">
        <v>2052</v>
      </c>
      <c r="C726" s="4">
        <v>10149027</v>
      </c>
    </row>
    <row r="727" spans="1:3" ht="15.75" x14ac:dyDescent="0.25">
      <c r="A727" s="7" t="s">
        <v>2053</v>
      </c>
      <c r="B727" s="6" t="s">
        <v>2052</v>
      </c>
      <c r="C727" s="4">
        <v>10151775</v>
      </c>
    </row>
    <row r="728" spans="1:3" ht="15.75" x14ac:dyDescent="0.25">
      <c r="A728" s="7" t="s">
        <v>2054</v>
      </c>
      <c r="B728" s="6" t="s">
        <v>2055</v>
      </c>
      <c r="C728" s="4">
        <v>10087023</v>
      </c>
    </row>
    <row r="729" spans="1:3" ht="15.75" x14ac:dyDescent="0.25">
      <c r="A729" s="7" t="s">
        <v>2059</v>
      </c>
      <c r="B729" s="6" t="s">
        <v>2057</v>
      </c>
      <c r="C729" s="4">
        <v>10113448</v>
      </c>
    </row>
    <row r="730" spans="1:3" ht="15.75" x14ac:dyDescent="0.25">
      <c r="A730" s="7" t="s">
        <v>2058</v>
      </c>
      <c r="B730" s="6" t="s">
        <v>2057</v>
      </c>
      <c r="C730" s="4">
        <v>10119153</v>
      </c>
    </row>
    <row r="731" spans="1:3" ht="15.75" x14ac:dyDescent="0.25">
      <c r="A731" s="7" t="s">
        <v>2056</v>
      </c>
      <c r="B731" s="6" t="s">
        <v>2057</v>
      </c>
      <c r="C731" s="4">
        <v>10122233</v>
      </c>
    </row>
    <row r="732" spans="1:3" ht="15.75" x14ac:dyDescent="0.25">
      <c r="A732" s="7" t="s">
        <v>2060</v>
      </c>
      <c r="B732" s="6" t="s">
        <v>2061</v>
      </c>
      <c r="C732" s="4">
        <v>10046981</v>
      </c>
    </row>
    <row r="733" spans="1:3" ht="15.75" x14ac:dyDescent="0.25">
      <c r="A733" s="7" t="s">
        <v>2062</v>
      </c>
      <c r="B733" s="6" t="s">
        <v>2063</v>
      </c>
      <c r="C733" s="4">
        <v>10094687</v>
      </c>
    </row>
    <row r="734" spans="1:3" ht="15.75" x14ac:dyDescent="0.25">
      <c r="A734" s="7" t="s">
        <v>2064</v>
      </c>
      <c r="B734" s="6" t="s">
        <v>2065</v>
      </c>
      <c r="C734" s="4">
        <v>10048396</v>
      </c>
    </row>
    <row r="735" spans="1:3" ht="15.75" x14ac:dyDescent="0.25">
      <c r="A735" s="7" t="s">
        <v>2070</v>
      </c>
      <c r="B735" s="6" t="s">
        <v>2067</v>
      </c>
      <c r="C735" s="4">
        <v>10082525</v>
      </c>
    </row>
    <row r="736" spans="1:3" ht="15.75" x14ac:dyDescent="0.25">
      <c r="A736" s="7" t="s">
        <v>2069</v>
      </c>
      <c r="B736" s="6" t="s">
        <v>2067</v>
      </c>
      <c r="C736" s="4">
        <v>10088379</v>
      </c>
    </row>
    <row r="737" spans="1:3" ht="15.75" x14ac:dyDescent="0.25">
      <c r="A737" s="7" t="s">
        <v>2073</v>
      </c>
      <c r="B737" s="6" t="s">
        <v>2067</v>
      </c>
      <c r="C737" s="4">
        <v>10090290</v>
      </c>
    </row>
    <row r="738" spans="1:3" ht="15.75" x14ac:dyDescent="0.25">
      <c r="A738" s="7" t="s">
        <v>2072</v>
      </c>
      <c r="B738" s="6" t="s">
        <v>2067</v>
      </c>
      <c r="C738" s="4">
        <v>10095745</v>
      </c>
    </row>
    <row r="739" spans="1:3" ht="15.75" x14ac:dyDescent="0.25">
      <c r="A739" s="7" t="s">
        <v>2071</v>
      </c>
      <c r="B739" s="6" t="s">
        <v>2067</v>
      </c>
      <c r="C739" s="4">
        <v>10102170</v>
      </c>
    </row>
    <row r="740" spans="1:3" ht="15.75" x14ac:dyDescent="0.25">
      <c r="A740" s="7" t="s">
        <v>2066</v>
      </c>
      <c r="B740" s="6" t="s">
        <v>2067</v>
      </c>
      <c r="C740" s="4">
        <v>10108439</v>
      </c>
    </row>
    <row r="741" spans="1:3" ht="15.75" x14ac:dyDescent="0.25">
      <c r="A741" s="7" t="s">
        <v>2068</v>
      </c>
      <c r="B741" s="6" t="s">
        <v>2067</v>
      </c>
      <c r="C741" s="4">
        <v>10127115</v>
      </c>
    </row>
    <row r="742" spans="1:3" ht="15.75" x14ac:dyDescent="0.25">
      <c r="A742" s="7" t="s">
        <v>2074</v>
      </c>
      <c r="B742" s="6" t="s">
        <v>2075</v>
      </c>
      <c r="C742" s="4">
        <v>10095434</v>
      </c>
    </row>
    <row r="743" spans="1:3" ht="15.75" x14ac:dyDescent="0.25">
      <c r="A743" s="7" t="s">
        <v>2098</v>
      </c>
      <c r="B743" s="6" t="s">
        <v>2077</v>
      </c>
      <c r="C743" s="4">
        <v>10033594</v>
      </c>
    </row>
    <row r="744" spans="1:3" ht="15.75" x14ac:dyDescent="0.25">
      <c r="A744" s="7" t="s">
        <v>2106</v>
      </c>
      <c r="B744" s="6" t="s">
        <v>2077</v>
      </c>
      <c r="C744" s="4">
        <v>10040250</v>
      </c>
    </row>
    <row r="745" spans="1:3" ht="15.75" x14ac:dyDescent="0.25">
      <c r="A745" s="7" t="s">
        <v>2081</v>
      </c>
      <c r="B745" s="6" t="s">
        <v>2077</v>
      </c>
      <c r="C745" s="4">
        <v>10048105</v>
      </c>
    </row>
    <row r="746" spans="1:3" ht="15.75" x14ac:dyDescent="0.25">
      <c r="A746" s="7" t="s">
        <v>2083</v>
      </c>
      <c r="B746" s="6" t="s">
        <v>2077</v>
      </c>
      <c r="C746" s="4">
        <v>10049222</v>
      </c>
    </row>
    <row r="747" spans="1:3" ht="15.75" x14ac:dyDescent="0.25">
      <c r="A747" s="7" t="s">
        <v>2079</v>
      </c>
      <c r="B747" s="6" t="s">
        <v>2077</v>
      </c>
      <c r="C747" s="4">
        <v>10084283</v>
      </c>
    </row>
    <row r="748" spans="1:3" ht="15.75" x14ac:dyDescent="0.25">
      <c r="A748" s="7" t="s">
        <v>2093</v>
      </c>
      <c r="B748" s="6" t="s">
        <v>2077</v>
      </c>
      <c r="C748" s="4">
        <v>10084536</v>
      </c>
    </row>
    <row r="749" spans="1:3" ht="15.75" x14ac:dyDescent="0.25">
      <c r="A749" s="7" t="s">
        <v>2095</v>
      </c>
      <c r="B749" s="6" t="s">
        <v>2077</v>
      </c>
      <c r="C749" s="4">
        <v>10084911</v>
      </c>
    </row>
    <row r="750" spans="1:3" ht="15.75" x14ac:dyDescent="0.25">
      <c r="A750" s="7" t="s">
        <v>2107</v>
      </c>
      <c r="B750" s="6" t="s">
        <v>2077</v>
      </c>
      <c r="C750" s="4">
        <v>10084948</v>
      </c>
    </row>
    <row r="751" spans="1:3" ht="15.75" x14ac:dyDescent="0.25">
      <c r="A751" s="7" t="s">
        <v>2102</v>
      </c>
      <c r="B751" s="6" t="s">
        <v>2077</v>
      </c>
      <c r="C751" s="4">
        <v>10085182</v>
      </c>
    </row>
    <row r="752" spans="1:3" ht="15.75" x14ac:dyDescent="0.25">
      <c r="A752" s="7" t="s">
        <v>2100</v>
      </c>
      <c r="B752" s="6" t="s">
        <v>2077</v>
      </c>
      <c r="C752" s="4">
        <v>10085544</v>
      </c>
    </row>
    <row r="753" spans="1:3" ht="15.75" x14ac:dyDescent="0.25">
      <c r="A753" s="7" t="s">
        <v>2101</v>
      </c>
      <c r="B753" s="6" t="s">
        <v>2077</v>
      </c>
      <c r="C753" s="4">
        <v>10087002</v>
      </c>
    </row>
    <row r="754" spans="1:3" ht="15.75" x14ac:dyDescent="0.25">
      <c r="A754" s="7" t="s">
        <v>2086</v>
      </c>
      <c r="B754" s="6" t="s">
        <v>2077</v>
      </c>
      <c r="C754" s="4">
        <v>10088018</v>
      </c>
    </row>
    <row r="755" spans="1:3" ht="15.75" x14ac:dyDescent="0.25">
      <c r="A755" s="7" t="s">
        <v>2089</v>
      </c>
      <c r="B755" s="6" t="s">
        <v>2077</v>
      </c>
      <c r="C755" s="4">
        <v>10089078</v>
      </c>
    </row>
    <row r="756" spans="1:3" ht="15.75" x14ac:dyDescent="0.25">
      <c r="A756" s="7" t="s">
        <v>2090</v>
      </c>
      <c r="B756" s="6" t="s">
        <v>2077</v>
      </c>
      <c r="C756" s="4">
        <v>10089090</v>
      </c>
    </row>
    <row r="757" spans="1:3" ht="15.75" x14ac:dyDescent="0.25">
      <c r="A757" s="7" t="s">
        <v>2092</v>
      </c>
      <c r="B757" s="6" t="s">
        <v>2077</v>
      </c>
      <c r="C757" s="4">
        <v>10089604</v>
      </c>
    </row>
    <row r="758" spans="1:3" ht="15.75" x14ac:dyDescent="0.25">
      <c r="A758" s="7" t="s">
        <v>2084</v>
      </c>
      <c r="B758" s="6" t="s">
        <v>2077</v>
      </c>
      <c r="C758" s="4">
        <v>10089991</v>
      </c>
    </row>
    <row r="759" spans="1:3" ht="15.75" x14ac:dyDescent="0.25">
      <c r="A759" s="7" t="s">
        <v>2103</v>
      </c>
      <c r="B759" s="6" t="s">
        <v>2077</v>
      </c>
      <c r="C759" s="4">
        <v>10093667</v>
      </c>
    </row>
    <row r="760" spans="1:3" ht="15.75" x14ac:dyDescent="0.25">
      <c r="A760" s="7" t="s">
        <v>2082</v>
      </c>
      <c r="B760" s="6" t="s">
        <v>2077</v>
      </c>
      <c r="C760" s="4">
        <v>10095129</v>
      </c>
    </row>
    <row r="761" spans="1:3" ht="15.75" x14ac:dyDescent="0.25">
      <c r="A761" s="7" t="s">
        <v>2080</v>
      </c>
      <c r="B761" s="6" t="s">
        <v>2077</v>
      </c>
      <c r="C761" s="4">
        <v>10097111</v>
      </c>
    </row>
    <row r="762" spans="1:3" ht="15.75" x14ac:dyDescent="0.25">
      <c r="A762" s="7" t="s">
        <v>2087</v>
      </c>
      <c r="B762" s="6" t="s">
        <v>2077</v>
      </c>
      <c r="C762" s="4">
        <v>10097620</v>
      </c>
    </row>
    <row r="763" spans="1:3" ht="15.75" x14ac:dyDescent="0.25">
      <c r="A763" s="7" t="s">
        <v>2091</v>
      </c>
      <c r="B763" s="6" t="s">
        <v>2077</v>
      </c>
      <c r="C763" s="4">
        <v>10098581</v>
      </c>
    </row>
    <row r="764" spans="1:3" ht="15.75" x14ac:dyDescent="0.25">
      <c r="A764" s="7" t="s">
        <v>2104</v>
      </c>
      <c r="B764" s="6" t="s">
        <v>2077</v>
      </c>
      <c r="C764" s="4">
        <v>10099874</v>
      </c>
    </row>
    <row r="765" spans="1:3" ht="15.75" x14ac:dyDescent="0.25">
      <c r="A765" s="7" t="s">
        <v>2078</v>
      </c>
      <c r="B765" s="6" t="s">
        <v>2077</v>
      </c>
      <c r="C765" s="4">
        <v>10102136</v>
      </c>
    </row>
    <row r="766" spans="1:3" ht="15.75" x14ac:dyDescent="0.25">
      <c r="A766" s="7" t="s">
        <v>2094</v>
      </c>
      <c r="B766" s="6" t="s">
        <v>2077</v>
      </c>
      <c r="C766" s="4">
        <v>10102169</v>
      </c>
    </row>
    <row r="767" spans="1:3" ht="15.75" x14ac:dyDescent="0.25">
      <c r="A767" s="7" t="s">
        <v>2088</v>
      </c>
      <c r="B767" s="6" t="s">
        <v>2077</v>
      </c>
      <c r="C767" s="4">
        <v>10102187</v>
      </c>
    </row>
    <row r="768" spans="1:3" ht="15.75" x14ac:dyDescent="0.25">
      <c r="A768" s="7" t="s">
        <v>2105</v>
      </c>
      <c r="B768" s="6" t="s">
        <v>2077</v>
      </c>
      <c r="C768" s="4">
        <v>10103437</v>
      </c>
    </row>
    <row r="769" spans="1:3" ht="15.75" x14ac:dyDescent="0.25">
      <c r="A769" s="7" t="s">
        <v>2099</v>
      </c>
      <c r="B769" s="6" t="s">
        <v>2077</v>
      </c>
      <c r="C769" s="4">
        <v>10106043</v>
      </c>
    </row>
    <row r="770" spans="1:3" ht="15.75" x14ac:dyDescent="0.25">
      <c r="A770" s="7" t="s">
        <v>2097</v>
      </c>
      <c r="B770" s="6" t="s">
        <v>2077</v>
      </c>
      <c r="C770" s="4">
        <v>10107075</v>
      </c>
    </row>
    <row r="771" spans="1:3" ht="15.75" x14ac:dyDescent="0.25">
      <c r="A771" s="7" t="s">
        <v>2076</v>
      </c>
      <c r="B771" s="6" t="s">
        <v>2077</v>
      </c>
      <c r="C771" s="4">
        <v>10129238</v>
      </c>
    </row>
    <row r="772" spans="1:3" ht="15.75" x14ac:dyDescent="0.25">
      <c r="A772" s="7" t="s">
        <v>2085</v>
      </c>
      <c r="B772" s="6" t="s">
        <v>2077</v>
      </c>
      <c r="C772" s="4">
        <v>10134499</v>
      </c>
    </row>
    <row r="773" spans="1:3" ht="15.75" x14ac:dyDescent="0.25">
      <c r="A773" s="7" t="s">
        <v>2096</v>
      </c>
      <c r="B773" s="6" t="s">
        <v>2077</v>
      </c>
      <c r="C773" s="4">
        <v>10144854</v>
      </c>
    </row>
    <row r="774" spans="1:3" ht="15.75" x14ac:dyDescent="0.25">
      <c r="A774" s="7" t="s">
        <v>2108</v>
      </c>
      <c r="B774" s="6" t="s">
        <v>2109</v>
      </c>
      <c r="C774" s="4">
        <v>10102323</v>
      </c>
    </row>
    <row r="775" spans="1:3" ht="15.75" x14ac:dyDescent="0.25">
      <c r="A775" s="7" t="s">
        <v>2110</v>
      </c>
      <c r="B775" s="6" t="s">
        <v>2111</v>
      </c>
      <c r="C775" s="4">
        <v>10147783</v>
      </c>
    </row>
    <row r="776" spans="1:3" ht="15.75" x14ac:dyDescent="0.25">
      <c r="A776" s="7" t="s">
        <v>2112</v>
      </c>
      <c r="B776" s="6" t="s">
        <v>2113</v>
      </c>
      <c r="C776" s="4">
        <v>10108138</v>
      </c>
    </row>
    <row r="777" spans="1:3" ht="15.75" x14ac:dyDescent="0.25">
      <c r="A777" s="7" t="s">
        <v>2114</v>
      </c>
      <c r="B777" s="6" t="s">
        <v>2115</v>
      </c>
      <c r="C777" s="4">
        <v>10118084</v>
      </c>
    </row>
    <row r="778" spans="1:3" ht="15.75" x14ac:dyDescent="0.25">
      <c r="A778" s="7" t="s">
        <v>2116</v>
      </c>
      <c r="B778" s="6" t="s">
        <v>2117</v>
      </c>
      <c r="C778" s="4">
        <v>10094273</v>
      </c>
    </row>
    <row r="779" spans="1:3" ht="15.75" x14ac:dyDescent="0.25">
      <c r="A779" s="7" t="s">
        <v>2118</v>
      </c>
      <c r="B779" s="6" t="s">
        <v>2119</v>
      </c>
      <c r="C779" s="4">
        <v>10106816</v>
      </c>
    </row>
    <row r="780" spans="1:3" ht="15.75" x14ac:dyDescent="0.25">
      <c r="A780" s="7" t="s">
        <v>2120</v>
      </c>
      <c r="B780" s="6" t="s">
        <v>2121</v>
      </c>
      <c r="C780" s="4">
        <v>10134016</v>
      </c>
    </row>
    <row r="781" spans="1:3" ht="15.75" x14ac:dyDescent="0.25">
      <c r="A781" s="7" t="s">
        <v>2122</v>
      </c>
      <c r="B781" s="6" t="s">
        <v>2123</v>
      </c>
      <c r="C781" s="4">
        <v>10100473</v>
      </c>
    </row>
    <row r="782" spans="1:3" ht="15.75" x14ac:dyDescent="0.25">
      <c r="A782" s="7" t="s">
        <v>2124</v>
      </c>
      <c r="B782" s="6" t="s">
        <v>2125</v>
      </c>
      <c r="C782" s="4">
        <v>10083686</v>
      </c>
    </row>
    <row r="783" spans="1:3" ht="15.75" x14ac:dyDescent="0.25">
      <c r="A783" s="7" t="s">
        <v>2126</v>
      </c>
      <c r="B783" s="6" t="s">
        <v>2127</v>
      </c>
      <c r="C783" s="4">
        <v>10083748</v>
      </c>
    </row>
    <row r="784" spans="1:3" ht="15.75" x14ac:dyDescent="0.25">
      <c r="A784" s="7" t="s">
        <v>2128</v>
      </c>
      <c r="B784" s="6" t="s">
        <v>2129</v>
      </c>
      <c r="C784" s="4">
        <v>10094578</v>
      </c>
    </row>
    <row r="785" spans="1:3" ht="15.75" x14ac:dyDescent="0.25">
      <c r="A785" s="7" t="s">
        <v>895</v>
      </c>
      <c r="B785" s="6" t="s">
        <v>896</v>
      </c>
      <c r="C785" s="4">
        <v>10088128</v>
      </c>
    </row>
    <row r="786" spans="1:3" ht="15.75" x14ac:dyDescent="0.25">
      <c r="A786" s="7" t="s">
        <v>1451</v>
      </c>
      <c r="B786" s="6" t="s">
        <v>1452</v>
      </c>
      <c r="C786" s="4">
        <v>10075067</v>
      </c>
    </row>
    <row r="787" spans="1:3" ht="15.75" x14ac:dyDescent="0.25">
      <c r="A787" s="7" t="s">
        <v>1139</v>
      </c>
      <c r="B787" s="6" t="s">
        <v>1140</v>
      </c>
      <c r="C787" s="4">
        <v>10145431</v>
      </c>
    </row>
    <row r="788" spans="1:3" ht="15.75" x14ac:dyDescent="0.25">
      <c r="A788" s="7" t="s">
        <v>1453</v>
      </c>
      <c r="B788" s="6" t="s">
        <v>1454</v>
      </c>
      <c r="C788" s="4">
        <v>10039122</v>
      </c>
    </row>
    <row r="789" spans="1:3" ht="15.75" x14ac:dyDescent="0.25">
      <c r="A789" s="7" t="s">
        <v>1455</v>
      </c>
      <c r="B789" s="6" t="s">
        <v>1456</v>
      </c>
      <c r="C789" s="4">
        <v>10058136</v>
      </c>
    </row>
    <row r="790" spans="1:3" ht="15.75" x14ac:dyDescent="0.25">
      <c r="A790" s="7" t="s">
        <v>1457</v>
      </c>
      <c r="B790" s="6" t="s">
        <v>1458</v>
      </c>
      <c r="C790" s="4">
        <v>10101973</v>
      </c>
    </row>
    <row r="791" spans="1:3" ht="15.75" x14ac:dyDescent="0.25">
      <c r="A791" s="7" t="s">
        <v>2130</v>
      </c>
      <c r="B791" s="6" t="s">
        <v>2131</v>
      </c>
      <c r="C791" s="4">
        <v>10092701</v>
      </c>
    </row>
    <row r="792" spans="1:3" ht="15.75" x14ac:dyDescent="0.25">
      <c r="A792" s="7" t="s">
        <v>984</v>
      </c>
      <c r="B792" s="6" t="s">
        <v>985</v>
      </c>
      <c r="C792" s="4">
        <v>10112343</v>
      </c>
    </row>
    <row r="793" spans="1:3" ht="15.75" x14ac:dyDescent="0.25">
      <c r="A793" s="7" t="s">
        <v>970</v>
      </c>
      <c r="B793" s="6" t="s">
        <v>971</v>
      </c>
      <c r="C793" s="4">
        <v>10093079</v>
      </c>
    </row>
    <row r="794" spans="1:3" ht="15.75" x14ac:dyDescent="0.25">
      <c r="A794" s="7" t="s">
        <v>903</v>
      </c>
      <c r="B794" s="6" t="s">
        <v>904</v>
      </c>
      <c r="C794" s="4">
        <v>10084313</v>
      </c>
    </row>
    <row r="795" spans="1:3" ht="15.75" x14ac:dyDescent="0.25">
      <c r="A795" s="7" t="s">
        <v>1010</v>
      </c>
      <c r="B795" s="6" t="s">
        <v>1011</v>
      </c>
      <c r="C795" s="4">
        <v>10094325</v>
      </c>
    </row>
    <row r="796" spans="1:3" ht="15.75" x14ac:dyDescent="0.25">
      <c r="A796" s="7" t="s">
        <v>976</v>
      </c>
      <c r="B796" s="6" t="s">
        <v>977</v>
      </c>
      <c r="C796" s="4">
        <v>10097150</v>
      </c>
    </row>
    <row r="797" spans="1:3" ht="15.75" x14ac:dyDescent="0.25">
      <c r="A797" s="7" t="s">
        <v>1088</v>
      </c>
      <c r="B797" s="6" t="s">
        <v>1089</v>
      </c>
      <c r="C797" s="4">
        <v>10086382</v>
      </c>
    </row>
    <row r="798" spans="1:3" ht="15.75" x14ac:dyDescent="0.25">
      <c r="A798" s="7" t="s">
        <v>301</v>
      </c>
      <c r="B798" s="6" t="s">
        <v>302</v>
      </c>
      <c r="C798" s="4">
        <v>10085960</v>
      </c>
    </row>
    <row r="799" spans="1:3" ht="15.75" x14ac:dyDescent="0.25">
      <c r="A799" s="7" t="s">
        <v>1459</v>
      </c>
      <c r="B799" s="6" t="s">
        <v>1460</v>
      </c>
      <c r="C799" s="4">
        <v>10120675</v>
      </c>
    </row>
    <row r="800" spans="1:3" ht="15.75" x14ac:dyDescent="0.25">
      <c r="A800" s="7" t="s">
        <v>1124</v>
      </c>
      <c r="B800" s="6" t="s">
        <v>1125</v>
      </c>
      <c r="C800" s="4">
        <v>10093838</v>
      </c>
    </row>
    <row r="801" spans="1:3" ht="15.75" x14ac:dyDescent="0.25">
      <c r="A801" s="7" t="s">
        <v>1461</v>
      </c>
      <c r="B801" s="6" t="s">
        <v>1462</v>
      </c>
      <c r="C801" s="4">
        <v>10021534</v>
      </c>
    </row>
    <row r="802" spans="1:3" ht="15.75" x14ac:dyDescent="0.25">
      <c r="A802" s="7" t="s">
        <v>2132</v>
      </c>
      <c r="B802" s="6" t="s">
        <v>2133</v>
      </c>
      <c r="C802" s="4">
        <v>10139955</v>
      </c>
    </row>
    <row r="803" spans="1:3" ht="15.75" x14ac:dyDescent="0.25">
      <c r="A803" s="7" t="s">
        <v>1091</v>
      </c>
      <c r="B803" s="6" t="s">
        <v>1092</v>
      </c>
      <c r="C803" s="4">
        <v>10144457</v>
      </c>
    </row>
    <row r="804" spans="1:3" ht="15.75" x14ac:dyDescent="0.25">
      <c r="A804" s="7" t="s">
        <v>270</v>
      </c>
      <c r="B804" s="6" t="s">
        <v>271</v>
      </c>
      <c r="C804" s="4">
        <v>10089234</v>
      </c>
    </row>
    <row r="805" spans="1:3" ht="15.75" x14ac:dyDescent="0.25">
      <c r="A805" s="7" t="s">
        <v>2134</v>
      </c>
      <c r="B805" s="6" t="s">
        <v>2135</v>
      </c>
      <c r="C805" s="4">
        <v>10110949</v>
      </c>
    </row>
    <row r="806" spans="1:3" ht="15.75" x14ac:dyDescent="0.25">
      <c r="A806" s="7" t="s">
        <v>1464</v>
      </c>
      <c r="B806" s="6" t="s">
        <v>1465</v>
      </c>
      <c r="C806" s="4">
        <v>10083390</v>
      </c>
    </row>
    <row r="807" spans="1:3" ht="15.75" x14ac:dyDescent="0.25">
      <c r="A807" s="7" t="s">
        <v>1466</v>
      </c>
      <c r="B807" s="6" t="s">
        <v>1467</v>
      </c>
      <c r="C807" s="4">
        <v>10050855</v>
      </c>
    </row>
    <row r="808" spans="1:3" ht="15.75" x14ac:dyDescent="0.25">
      <c r="A808" s="7" t="s">
        <v>1468</v>
      </c>
      <c r="B808" s="6" t="s">
        <v>1467</v>
      </c>
      <c r="C808" s="4">
        <v>10056911</v>
      </c>
    </row>
    <row r="809" spans="1:3" ht="15.75" x14ac:dyDescent="0.25">
      <c r="A809" s="7" t="s">
        <v>1469</v>
      </c>
      <c r="B809" s="6" t="s">
        <v>1467</v>
      </c>
      <c r="C809" s="4">
        <v>10056912</v>
      </c>
    </row>
    <row r="810" spans="1:3" ht="15.75" x14ac:dyDescent="0.25">
      <c r="A810" s="7" t="s">
        <v>1470</v>
      </c>
      <c r="B810" s="6" t="s">
        <v>1471</v>
      </c>
      <c r="C810" s="4">
        <v>10007571</v>
      </c>
    </row>
    <row r="811" spans="1:3" ht="15.75" x14ac:dyDescent="0.25">
      <c r="A811" s="7" t="s">
        <v>1472</v>
      </c>
      <c r="B811" s="6" t="s">
        <v>1473</v>
      </c>
      <c r="C811" s="4">
        <v>10077189</v>
      </c>
    </row>
    <row r="812" spans="1:3" ht="15.75" x14ac:dyDescent="0.25">
      <c r="A812" s="7" t="s">
        <v>1474</v>
      </c>
      <c r="B812" s="6" t="s">
        <v>1475</v>
      </c>
      <c r="C812" s="4">
        <v>10036059</v>
      </c>
    </row>
    <row r="813" spans="1:3" ht="15.75" x14ac:dyDescent="0.25">
      <c r="A813" s="7" t="s">
        <v>972</v>
      </c>
      <c r="B813" s="6" t="s">
        <v>973</v>
      </c>
      <c r="C813" s="4">
        <v>10088662</v>
      </c>
    </row>
    <row r="814" spans="1:3" ht="15.75" x14ac:dyDescent="0.25">
      <c r="A814" s="7" t="s">
        <v>992</v>
      </c>
      <c r="B814" s="6" t="s">
        <v>993</v>
      </c>
      <c r="C814" s="4">
        <v>10084775</v>
      </c>
    </row>
    <row r="815" spans="1:3" ht="15.75" x14ac:dyDescent="0.25">
      <c r="A815" s="7" t="s">
        <v>994</v>
      </c>
      <c r="B815" s="6" t="s">
        <v>995</v>
      </c>
      <c r="C815" s="4">
        <v>10089833</v>
      </c>
    </row>
    <row r="816" spans="1:3" ht="15.75" x14ac:dyDescent="0.25">
      <c r="A816" s="7" t="s">
        <v>1114</v>
      </c>
      <c r="B816" s="6" t="s">
        <v>1115</v>
      </c>
      <c r="C816" s="4">
        <v>10099030</v>
      </c>
    </row>
    <row r="817" spans="1:3" ht="15.75" x14ac:dyDescent="0.25">
      <c r="A817" s="7" t="s">
        <v>1118</v>
      </c>
      <c r="B817" s="6" t="s">
        <v>1119</v>
      </c>
      <c r="C817" s="4">
        <v>10095002</v>
      </c>
    </row>
    <row r="818" spans="1:3" ht="15.75" x14ac:dyDescent="0.25">
      <c r="A818" s="7" t="s">
        <v>2136</v>
      </c>
      <c r="B818" s="6" t="s">
        <v>2137</v>
      </c>
      <c r="C818" s="4">
        <v>10099032</v>
      </c>
    </row>
    <row r="819" spans="1:3" ht="15.75" x14ac:dyDescent="0.25">
      <c r="A819" s="7" t="s">
        <v>1120</v>
      </c>
      <c r="B819" s="6" t="s">
        <v>1121</v>
      </c>
      <c r="C819" s="4">
        <v>10112204</v>
      </c>
    </row>
    <row r="820" spans="1:3" ht="15.75" x14ac:dyDescent="0.25">
      <c r="A820" s="7" t="s">
        <v>2138</v>
      </c>
      <c r="B820" s="6" t="s">
        <v>2139</v>
      </c>
      <c r="C820" s="4">
        <v>10003844</v>
      </c>
    </row>
    <row r="821" spans="1:3" ht="15.75" x14ac:dyDescent="0.25">
      <c r="A821" s="7" t="s">
        <v>1476</v>
      </c>
      <c r="B821" s="6" t="s">
        <v>1477</v>
      </c>
      <c r="C821" s="4">
        <v>10146345</v>
      </c>
    </row>
    <row r="822" spans="1:3" ht="15.75" x14ac:dyDescent="0.25">
      <c r="A822" s="7" t="s">
        <v>1480</v>
      </c>
      <c r="B822" s="6" t="s">
        <v>1477</v>
      </c>
      <c r="C822" s="4">
        <v>10151393</v>
      </c>
    </row>
    <row r="823" spans="1:3" ht="15.75" x14ac:dyDescent="0.25">
      <c r="A823" s="7" t="s">
        <v>1478</v>
      </c>
      <c r="B823" s="6" t="s">
        <v>1477</v>
      </c>
      <c r="C823" s="4">
        <v>10153249</v>
      </c>
    </row>
    <row r="824" spans="1:3" ht="15.75" x14ac:dyDescent="0.25">
      <c r="A824" s="7" t="s">
        <v>1479</v>
      </c>
      <c r="B824" s="6" t="s">
        <v>1477</v>
      </c>
      <c r="C824" s="4">
        <v>10158056</v>
      </c>
    </row>
    <row r="825" spans="1:3" ht="15.75" x14ac:dyDescent="0.25">
      <c r="A825" s="7" t="s">
        <v>81</v>
      </c>
      <c r="B825" s="6" t="s">
        <v>82</v>
      </c>
      <c r="C825" s="4">
        <v>10111040</v>
      </c>
    </row>
    <row r="826" spans="1:3" ht="15.75" x14ac:dyDescent="0.25">
      <c r="A826" s="7" t="s">
        <v>264</v>
      </c>
      <c r="B826" s="6" t="s">
        <v>265</v>
      </c>
      <c r="C826" s="4">
        <v>10005713</v>
      </c>
    </row>
    <row r="827" spans="1:3" ht="15.75" x14ac:dyDescent="0.25">
      <c r="A827" s="7" t="s">
        <v>2140</v>
      </c>
      <c r="B827" s="6" t="s">
        <v>2141</v>
      </c>
      <c r="C827" s="4">
        <v>10036803</v>
      </c>
    </row>
    <row r="828" spans="1:3" ht="15.75" x14ac:dyDescent="0.25">
      <c r="A828" s="7" t="s">
        <v>1481</v>
      </c>
      <c r="B828" s="6" t="s">
        <v>1482</v>
      </c>
      <c r="C828" s="4">
        <v>10147958</v>
      </c>
    </row>
    <row r="829" spans="1:3" ht="15.75" x14ac:dyDescent="0.25">
      <c r="A829" s="7" t="s">
        <v>1483</v>
      </c>
      <c r="B829" s="6" t="s">
        <v>1484</v>
      </c>
      <c r="C829" s="4">
        <v>10116547</v>
      </c>
    </row>
    <row r="830" spans="1:3" ht="15.75" x14ac:dyDescent="0.25">
      <c r="A830" s="7" t="s">
        <v>1485</v>
      </c>
      <c r="B830" s="6" t="s">
        <v>1486</v>
      </c>
      <c r="C830" s="4">
        <v>10130803</v>
      </c>
    </row>
    <row r="831" spans="1:3" ht="15.75" x14ac:dyDescent="0.25">
      <c r="A831" s="7" t="s">
        <v>1487</v>
      </c>
      <c r="B831" s="6" t="s">
        <v>1488</v>
      </c>
      <c r="C831" s="4">
        <v>10018506</v>
      </c>
    </row>
    <row r="832" spans="1:3" ht="15.75" x14ac:dyDescent="0.25">
      <c r="A832" s="7" t="s">
        <v>1489</v>
      </c>
      <c r="B832" s="6" t="s">
        <v>1490</v>
      </c>
      <c r="C832" s="4">
        <v>10130809</v>
      </c>
    </row>
    <row r="833" spans="1:3" ht="15.75" x14ac:dyDescent="0.25">
      <c r="A833" s="7" t="s">
        <v>1491</v>
      </c>
      <c r="B833" s="6" t="s">
        <v>1492</v>
      </c>
      <c r="C833" s="4">
        <v>10143801</v>
      </c>
    </row>
    <row r="834" spans="1:3" ht="15.75" x14ac:dyDescent="0.25">
      <c r="A834" s="7" t="s">
        <v>1493</v>
      </c>
      <c r="B834" s="6" t="s">
        <v>1494</v>
      </c>
      <c r="C834" s="4">
        <v>10023422</v>
      </c>
    </row>
    <row r="835" spans="1:3" ht="15.75" x14ac:dyDescent="0.25">
      <c r="A835" s="7" t="s">
        <v>885</v>
      </c>
      <c r="B835" s="6" t="s">
        <v>886</v>
      </c>
      <c r="C835" s="4">
        <v>10152409</v>
      </c>
    </row>
    <row r="836" spans="1:3" ht="15.75" x14ac:dyDescent="0.25">
      <c r="A836" s="7" t="s">
        <v>879</v>
      </c>
      <c r="B836" s="6" t="s">
        <v>880</v>
      </c>
      <c r="C836" s="4">
        <v>10091037</v>
      </c>
    </row>
    <row r="837" spans="1:3" ht="15.75" x14ac:dyDescent="0.25">
      <c r="A837" s="7" t="s">
        <v>912</v>
      </c>
      <c r="B837" s="6" t="s">
        <v>913</v>
      </c>
      <c r="C837" s="4">
        <v>10141061</v>
      </c>
    </row>
    <row r="838" spans="1:3" ht="15.75" x14ac:dyDescent="0.25">
      <c r="A838" s="7" t="s">
        <v>864</v>
      </c>
      <c r="B838" s="6" t="s">
        <v>865</v>
      </c>
      <c r="C838" s="4">
        <v>10087655</v>
      </c>
    </row>
    <row r="839" spans="1:3" ht="15.75" x14ac:dyDescent="0.25">
      <c r="A839" s="7" t="s">
        <v>890</v>
      </c>
      <c r="B839" s="6" t="s">
        <v>891</v>
      </c>
      <c r="C839" s="4">
        <v>10088013</v>
      </c>
    </row>
    <row r="840" spans="1:3" ht="15.75" x14ac:dyDescent="0.25">
      <c r="A840" s="7" t="s">
        <v>2142</v>
      </c>
      <c r="B840" s="6" t="s">
        <v>2143</v>
      </c>
      <c r="C840" s="4">
        <v>10083925</v>
      </c>
    </row>
    <row r="841" spans="1:3" ht="15.75" x14ac:dyDescent="0.25">
      <c r="A841" s="7" t="s">
        <v>2144</v>
      </c>
      <c r="B841" s="6" t="s">
        <v>2143</v>
      </c>
      <c r="C841" s="4">
        <v>10089018</v>
      </c>
    </row>
    <row r="842" spans="1:3" ht="15.75" x14ac:dyDescent="0.25">
      <c r="A842" s="7" t="s">
        <v>2145</v>
      </c>
      <c r="B842" s="6" t="s">
        <v>2143</v>
      </c>
      <c r="C842" s="4">
        <v>10091666</v>
      </c>
    </row>
    <row r="843" spans="1:3" ht="15.75" x14ac:dyDescent="0.25">
      <c r="A843" s="7" t="s">
        <v>2146</v>
      </c>
      <c r="B843" s="6" t="s">
        <v>2147</v>
      </c>
      <c r="C843" s="4">
        <v>10035491</v>
      </c>
    </row>
    <row r="844" spans="1:3" ht="15.75" x14ac:dyDescent="0.25">
      <c r="A844" s="7" t="s">
        <v>2148</v>
      </c>
      <c r="B844" s="6" t="s">
        <v>2147</v>
      </c>
      <c r="C844" s="4">
        <v>10123827</v>
      </c>
    </row>
    <row r="845" spans="1:3" ht="15.75" x14ac:dyDescent="0.25">
      <c r="A845" s="7" t="s">
        <v>2149</v>
      </c>
      <c r="B845" s="6" t="s">
        <v>2150</v>
      </c>
      <c r="C845" s="4">
        <v>10133175</v>
      </c>
    </row>
    <row r="846" spans="1:3" ht="15.75" x14ac:dyDescent="0.25">
      <c r="A846" s="7" t="s">
        <v>1497</v>
      </c>
      <c r="B846" s="6" t="s">
        <v>1496</v>
      </c>
      <c r="C846" s="4">
        <v>10051190</v>
      </c>
    </row>
    <row r="847" spans="1:3" ht="15.75" x14ac:dyDescent="0.25">
      <c r="A847" s="7" t="s">
        <v>1495</v>
      </c>
      <c r="B847" s="6" t="s">
        <v>1496</v>
      </c>
      <c r="C847" s="4">
        <v>10134350</v>
      </c>
    </row>
    <row r="848" spans="1:3" ht="15.75" x14ac:dyDescent="0.25">
      <c r="A848" s="7" t="s">
        <v>1498</v>
      </c>
      <c r="B848" s="6" t="s">
        <v>1499</v>
      </c>
      <c r="C848" s="4">
        <v>10098172</v>
      </c>
    </row>
    <row r="849" spans="1:3" ht="15.75" x14ac:dyDescent="0.25">
      <c r="A849" s="7" t="s">
        <v>713</v>
      </c>
      <c r="B849" s="6" t="s">
        <v>714</v>
      </c>
      <c r="C849" s="4">
        <v>10143858</v>
      </c>
    </row>
    <row r="850" spans="1:3" ht="15.75" x14ac:dyDescent="0.25">
      <c r="A850" s="7" t="s">
        <v>118</v>
      </c>
      <c r="B850" s="6" t="s">
        <v>119</v>
      </c>
      <c r="C850" s="4">
        <v>10097041</v>
      </c>
    </row>
    <row r="851" spans="1:3" ht="15.75" x14ac:dyDescent="0.25">
      <c r="A851" s="7" t="s">
        <v>577</v>
      </c>
      <c r="B851" s="6" t="s">
        <v>578</v>
      </c>
      <c r="C851" s="4">
        <v>10000118</v>
      </c>
    </row>
    <row r="852" spans="1:3" ht="15.75" x14ac:dyDescent="0.25">
      <c r="A852" s="7" t="s">
        <v>571</v>
      </c>
      <c r="B852" s="6" t="s">
        <v>572</v>
      </c>
      <c r="C852" s="4">
        <v>10132194</v>
      </c>
    </row>
    <row r="853" spans="1:3" ht="15.75" x14ac:dyDescent="0.25">
      <c r="A853" s="7" t="s">
        <v>575</v>
      </c>
      <c r="B853" s="6" t="s">
        <v>576</v>
      </c>
      <c r="C853" s="4">
        <v>10000117</v>
      </c>
    </row>
    <row r="854" spans="1:3" ht="15.75" x14ac:dyDescent="0.25">
      <c r="A854" s="7" t="s">
        <v>1500</v>
      </c>
      <c r="B854" s="6" t="s">
        <v>1501</v>
      </c>
      <c r="C854" s="4">
        <v>10093676</v>
      </c>
    </row>
    <row r="855" spans="1:3" ht="15.75" x14ac:dyDescent="0.25">
      <c r="A855" s="7" t="s">
        <v>21</v>
      </c>
      <c r="B855" s="6" t="s">
        <v>1850</v>
      </c>
      <c r="C855" s="4">
        <v>10084282</v>
      </c>
    </row>
    <row r="856" spans="1:3" ht="15.75" x14ac:dyDescent="0.25">
      <c r="A856" s="7" t="s">
        <v>2151</v>
      </c>
      <c r="B856" s="6" t="s">
        <v>2152</v>
      </c>
      <c r="C856" s="4">
        <v>10090416</v>
      </c>
    </row>
    <row r="857" spans="1:3" ht="15.75" x14ac:dyDescent="0.25">
      <c r="A857" s="7" t="s">
        <v>2153</v>
      </c>
      <c r="B857" s="6" t="s">
        <v>2154</v>
      </c>
      <c r="C857" s="4">
        <v>10118790</v>
      </c>
    </row>
    <row r="858" spans="1:3" ht="15.75" x14ac:dyDescent="0.25">
      <c r="A858" s="7" t="s">
        <v>2155</v>
      </c>
      <c r="B858" s="6" t="s">
        <v>2156</v>
      </c>
      <c r="C858" s="4">
        <v>10132765</v>
      </c>
    </row>
    <row r="859" spans="1:3" ht="15.75" x14ac:dyDescent="0.25">
      <c r="A859" s="7" t="s">
        <v>2157</v>
      </c>
      <c r="B859" s="6" t="s">
        <v>2158</v>
      </c>
      <c r="C859" s="4">
        <v>10086112</v>
      </c>
    </row>
    <row r="860" spans="1:3" ht="15.75" x14ac:dyDescent="0.25">
      <c r="A860" s="7" t="s">
        <v>2159</v>
      </c>
      <c r="B860" s="6" t="s">
        <v>2160</v>
      </c>
      <c r="C860" s="4">
        <v>10113429</v>
      </c>
    </row>
    <row r="861" spans="1:3" ht="15.75" x14ac:dyDescent="0.25">
      <c r="A861" s="7" t="s">
        <v>2161</v>
      </c>
      <c r="B861" s="6" t="s">
        <v>2162</v>
      </c>
      <c r="C861" s="4">
        <v>10000116</v>
      </c>
    </row>
    <row r="862" spans="1:3" ht="15.75" x14ac:dyDescent="0.25">
      <c r="A862" s="7" t="s">
        <v>2163</v>
      </c>
      <c r="B862" s="6" t="s">
        <v>2164</v>
      </c>
      <c r="C862" s="4">
        <v>10102198</v>
      </c>
    </row>
    <row r="863" spans="1:3" ht="15.75" x14ac:dyDescent="0.25">
      <c r="A863" s="7" t="s">
        <v>2165</v>
      </c>
      <c r="B863" s="6" t="s">
        <v>2166</v>
      </c>
      <c r="C863" s="4">
        <v>10099031</v>
      </c>
    </row>
    <row r="864" spans="1:3" ht="15.75" x14ac:dyDescent="0.25">
      <c r="A864" s="7" t="s">
        <v>2167</v>
      </c>
      <c r="B864" s="6" t="s">
        <v>2168</v>
      </c>
      <c r="C864" s="4">
        <v>10083372</v>
      </c>
    </row>
    <row r="865" spans="1:3" ht="15.75" x14ac:dyDescent="0.25">
      <c r="A865" s="7" t="s">
        <v>2169</v>
      </c>
      <c r="B865" s="6" t="s">
        <v>2170</v>
      </c>
      <c r="C865" s="4">
        <v>10084011</v>
      </c>
    </row>
    <row r="866" spans="1:3" ht="15.75" x14ac:dyDescent="0.25">
      <c r="A866" s="7" t="s">
        <v>2171</v>
      </c>
      <c r="B866" s="6" t="s">
        <v>2172</v>
      </c>
      <c r="C866" s="4">
        <v>10139849</v>
      </c>
    </row>
    <row r="867" spans="1:3" ht="15.75" x14ac:dyDescent="0.25">
      <c r="A867" s="7" t="s">
        <v>214</v>
      </c>
      <c r="B867" s="6" t="s">
        <v>215</v>
      </c>
      <c r="C867" s="4">
        <v>10089051</v>
      </c>
    </row>
    <row r="868" spans="1:3" ht="15.75" x14ac:dyDescent="0.25">
      <c r="A868" s="7" t="s">
        <v>2173</v>
      </c>
      <c r="B868" s="6" t="s">
        <v>2174</v>
      </c>
      <c r="C868" s="4">
        <v>10144828</v>
      </c>
    </row>
    <row r="869" spans="1:3" ht="15.75" x14ac:dyDescent="0.25">
      <c r="A869" s="7" t="s">
        <v>2175</v>
      </c>
      <c r="B869" s="6" t="s">
        <v>2176</v>
      </c>
      <c r="C869" s="4">
        <v>10001597</v>
      </c>
    </row>
    <row r="870" spans="1:3" ht="15.75" x14ac:dyDescent="0.25">
      <c r="A870" s="7" t="s">
        <v>2177</v>
      </c>
      <c r="B870" s="6" t="s">
        <v>2178</v>
      </c>
      <c r="C870" s="4">
        <v>10082583</v>
      </c>
    </row>
    <row r="871" spans="1:3" ht="15.75" x14ac:dyDescent="0.25">
      <c r="A871" s="7" t="s">
        <v>2179</v>
      </c>
      <c r="B871" s="6" t="s">
        <v>2178</v>
      </c>
      <c r="C871" s="4">
        <v>10089638</v>
      </c>
    </row>
    <row r="872" spans="1:3" ht="15.75" x14ac:dyDescent="0.25">
      <c r="A872" s="7" t="s">
        <v>2180</v>
      </c>
      <c r="B872" s="6" t="s">
        <v>2181</v>
      </c>
      <c r="C872" s="4">
        <v>10142831</v>
      </c>
    </row>
    <row r="873" spans="1:3" ht="15.75" x14ac:dyDescent="0.25">
      <c r="A873" s="7" t="s">
        <v>2182</v>
      </c>
      <c r="B873" s="6" t="s">
        <v>2183</v>
      </c>
      <c r="C873" s="4">
        <v>10097389</v>
      </c>
    </row>
    <row r="874" spans="1:3" ht="15.75" x14ac:dyDescent="0.25">
      <c r="A874" s="7" t="s">
        <v>2184</v>
      </c>
      <c r="B874" s="6" t="s">
        <v>2185</v>
      </c>
      <c r="C874" s="4">
        <v>10026815</v>
      </c>
    </row>
    <row r="875" spans="1:3" ht="15.75" x14ac:dyDescent="0.25">
      <c r="A875" s="7" t="s">
        <v>2186</v>
      </c>
      <c r="B875" s="6" t="s">
        <v>2187</v>
      </c>
      <c r="C875" s="4">
        <v>10084352</v>
      </c>
    </row>
    <row r="876" spans="1:3" ht="15.75" x14ac:dyDescent="0.25">
      <c r="A876" s="7" t="s">
        <v>2188</v>
      </c>
      <c r="B876" s="6" t="s">
        <v>2187</v>
      </c>
      <c r="C876" s="4">
        <v>10086856</v>
      </c>
    </row>
    <row r="877" spans="1:3" ht="15.75" x14ac:dyDescent="0.25">
      <c r="A877" s="7" t="s">
        <v>2189</v>
      </c>
      <c r="B877" s="6" t="s">
        <v>2187</v>
      </c>
      <c r="C877" s="4">
        <v>10111507</v>
      </c>
    </row>
    <row r="878" spans="1:3" ht="15.75" x14ac:dyDescent="0.25">
      <c r="A878" s="7" t="s">
        <v>2190</v>
      </c>
      <c r="B878" s="6" t="s">
        <v>2191</v>
      </c>
      <c r="C878" s="4">
        <v>10103212</v>
      </c>
    </row>
    <row r="879" spans="1:3" ht="15.75" x14ac:dyDescent="0.25">
      <c r="A879" s="7" t="s">
        <v>2192</v>
      </c>
      <c r="B879" s="6" t="s">
        <v>2193</v>
      </c>
      <c r="C879" s="4">
        <v>10040225</v>
      </c>
    </row>
    <row r="880" spans="1:3" ht="15.75" x14ac:dyDescent="0.25">
      <c r="A880" s="7" t="s">
        <v>2194</v>
      </c>
      <c r="B880" s="6" t="s">
        <v>2195</v>
      </c>
      <c r="C880" s="4">
        <v>10081425</v>
      </c>
    </row>
    <row r="881" spans="1:3" ht="15.75" x14ac:dyDescent="0.25">
      <c r="A881" s="7" t="s">
        <v>2196</v>
      </c>
      <c r="B881" s="6" t="s">
        <v>2197</v>
      </c>
      <c r="C881" s="4">
        <v>10032510</v>
      </c>
    </row>
    <row r="882" spans="1:3" ht="15.75" x14ac:dyDescent="0.25">
      <c r="A882" s="7" t="s">
        <v>2198</v>
      </c>
      <c r="B882" s="6" t="s">
        <v>2199</v>
      </c>
      <c r="C882" s="4">
        <v>10126110</v>
      </c>
    </row>
    <row r="883" spans="1:3" ht="15.75" x14ac:dyDescent="0.25">
      <c r="A883" s="7" t="s">
        <v>1502</v>
      </c>
      <c r="B883" s="6" t="s">
        <v>1503</v>
      </c>
      <c r="C883" s="4">
        <v>10005542</v>
      </c>
    </row>
    <row r="884" spans="1:3" ht="15.75" x14ac:dyDescent="0.25">
      <c r="A884" s="7" t="s">
        <v>790</v>
      </c>
      <c r="B884" s="6" t="s">
        <v>791</v>
      </c>
      <c r="C884" s="4">
        <v>10086009</v>
      </c>
    </row>
    <row r="885" spans="1:3" ht="15.75" x14ac:dyDescent="0.25">
      <c r="A885" s="7" t="s">
        <v>1504</v>
      </c>
      <c r="B885" s="6" t="s">
        <v>1505</v>
      </c>
      <c r="C885" s="4">
        <v>10150398</v>
      </c>
    </row>
    <row r="886" spans="1:3" ht="15.75" x14ac:dyDescent="0.25">
      <c r="A886" s="7" t="s">
        <v>1506</v>
      </c>
      <c r="B886" s="6" t="s">
        <v>1507</v>
      </c>
      <c r="C886" s="4">
        <v>10085560</v>
      </c>
    </row>
    <row r="887" spans="1:3" ht="15.75" x14ac:dyDescent="0.25">
      <c r="A887" s="7" t="s">
        <v>824</v>
      </c>
      <c r="B887" s="6" t="s">
        <v>825</v>
      </c>
      <c r="C887" s="4">
        <v>10125204</v>
      </c>
    </row>
    <row r="888" spans="1:3" ht="15.75" x14ac:dyDescent="0.25">
      <c r="A888" s="7" t="s">
        <v>679</v>
      </c>
      <c r="B888" s="6" t="s">
        <v>680</v>
      </c>
      <c r="C888" s="4">
        <v>10047475</v>
      </c>
    </row>
    <row r="889" spans="1:3" ht="15.75" x14ac:dyDescent="0.25">
      <c r="A889" s="7" t="s">
        <v>810</v>
      </c>
      <c r="B889" s="6" t="s">
        <v>811</v>
      </c>
      <c r="C889" s="4">
        <v>10099707</v>
      </c>
    </row>
    <row r="890" spans="1:3" ht="15.75" x14ac:dyDescent="0.25">
      <c r="A890" s="7" t="s">
        <v>703</v>
      </c>
      <c r="B890" s="6" t="s">
        <v>704</v>
      </c>
      <c r="C890" s="4">
        <v>10094022</v>
      </c>
    </row>
    <row r="891" spans="1:3" ht="15.75" x14ac:dyDescent="0.25">
      <c r="A891" s="7" t="s">
        <v>808</v>
      </c>
      <c r="B891" s="6" t="s">
        <v>809</v>
      </c>
      <c r="C891" s="4">
        <v>10105170</v>
      </c>
    </row>
    <row r="892" spans="1:3" ht="15.75" x14ac:dyDescent="0.25">
      <c r="A892" s="7" t="s">
        <v>2200</v>
      </c>
      <c r="B892" s="6" t="s">
        <v>2201</v>
      </c>
      <c r="C892" s="4">
        <v>10094064</v>
      </c>
    </row>
    <row r="893" spans="1:3" ht="15.75" x14ac:dyDescent="0.25">
      <c r="A893" s="7" t="s">
        <v>1510</v>
      </c>
      <c r="B893" s="6" t="s">
        <v>1509</v>
      </c>
      <c r="C893" s="4">
        <v>10023076</v>
      </c>
    </row>
    <row r="894" spans="1:3" ht="15.75" x14ac:dyDescent="0.25">
      <c r="A894" s="7" t="s">
        <v>1508</v>
      </c>
      <c r="B894" s="6" t="s">
        <v>1509</v>
      </c>
      <c r="C894" s="4">
        <v>10088356</v>
      </c>
    </row>
    <row r="895" spans="1:3" ht="15.75" x14ac:dyDescent="0.25">
      <c r="A895" s="7" t="s">
        <v>79</v>
      </c>
      <c r="B895" s="6" t="s">
        <v>80</v>
      </c>
      <c r="C895" s="4">
        <v>10093254</v>
      </c>
    </row>
    <row r="896" spans="1:3" ht="15.75" x14ac:dyDescent="0.25">
      <c r="A896" s="7" t="s">
        <v>1108</v>
      </c>
      <c r="B896" s="6" t="s">
        <v>1109</v>
      </c>
      <c r="C896" s="4">
        <v>10089482</v>
      </c>
    </row>
    <row r="897" spans="1:3" ht="15.75" x14ac:dyDescent="0.25">
      <c r="A897" s="7" t="s">
        <v>845</v>
      </c>
      <c r="B897" s="6" t="s">
        <v>846</v>
      </c>
      <c r="C897" s="4">
        <v>10120762</v>
      </c>
    </row>
    <row r="898" spans="1:3" ht="15.75" x14ac:dyDescent="0.25">
      <c r="A898" s="7" t="s">
        <v>353</v>
      </c>
      <c r="B898" s="6" t="s">
        <v>354</v>
      </c>
      <c r="C898" s="4">
        <v>10083913</v>
      </c>
    </row>
    <row r="899" spans="1:3" ht="15.75" x14ac:dyDescent="0.25">
      <c r="A899" s="7" t="s">
        <v>1511</v>
      </c>
      <c r="B899" s="6" t="s">
        <v>1512</v>
      </c>
      <c r="C899" s="4">
        <v>10143465</v>
      </c>
    </row>
    <row r="900" spans="1:3" ht="15.75" x14ac:dyDescent="0.25">
      <c r="A900" s="7" t="s">
        <v>1014</v>
      </c>
      <c r="B900" s="6" t="s">
        <v>1015</v>
      </c>
      <c r="C900" s="4">
        <v>10089515</v>
      </c>
    </row>
    <row r="901" spans="1:3" ht="15.75" x14ac:dyDescent="0.25">
      <c r="A901" s="7" t="s">
        <v>2202</v>
      </c>
      <c r="B901" s="6" t="s">
        <v>2203</v>
      </c>
      <c r="C901" s="4">
        <v>10108120</v>
      </c>
    </row>
    <row r="902" spans="1:3" ht="15.75" x14ac:dyDescent="0.25">
      <c r="A902" s="7" t="s">
        <v>1513</v>
      </c>
      <c r="B902" s="6" t="s">
        <v>1514</v>
      </c>
      <c r="C902" s="4">
        <v>10025379</v>
      </c>
    </row>
    <row r="903" spans="1:3" ht="15.75" x14ac:dyDescent="0.25">
      <c r="A903" s="7" t="s">
        <v>1515</v>
      </c>
      <c r="B903" s="6" t="s">
        <v>1516</v>
      </c>
      <c r="C903" s="4">
        <v>10067272</v>
      </c>
    </row>
    <row r="904" spans="1:3" ht="15.75" x14ac:dyDescent="0.25">
      <c r="A904" s="7" t="s">
        <v>881</v>
      </c>
      <c r="B904" s="6" t="s">
        <v>882</v>
      </c>
      <c r="C904" s="4">
        <v>10099076</v>
      </c>
    </row>
    <row r="905" spans="1:3" ht="15.75" x14ac:dyDescent="0.25">
      <c r="A905" s="7" t="s">
        <v>339</v>
      </c>
      <c r="B905" s="6" t="s">
        <v>340</v>
      </c>
      <c r="C905" s="4">
        <v>10146225</v>
      </c>
    </row>
    <row r="906" spans="1:3" ht="15.75" x14ac:dyDescent="0.25">
      <c r="A906" s="7" t="s">
        <v>1517</v>
      </c>
      <c r="B906" s="6" t="s">
        <v>1518</v>
      </c>
      <c r="C906" s="4">
        <v>10004332</v>
      </c>
    </row>
    <row r="907" spans="1:3" ht="15.75" x14ac:dyDescent="0.25">
      <c r="A907" s="7" t="s">
        <v>1519</v>
      </c>
      <c r="B907" s="6" t="s">
        <v>1520</v>
      </c>
      <c r="C907" s="4">
        <v>10000655</v>
      </c>
    </row>
    <row r="908" spans="1:3" ht="15.75" x14ac:dyDescent="0.25">
      <c r="A908" s="7" t="s">
        <v>2204</v>
      </c>
      <c r="B908" s="6" t="s">
        <v>2205</v>
      </c>
      <c r="C908" s="4">
        <v>10141629</v>
      </c>
    </row>
    <row r="909" spans="1:3" ht="15.75" x14ac:dyDescent="0.25">
      <c r="A909" s="7" t="s">
        <v>1132</v>
      </c>
      <c r="B909" s="6" t="s">
        <v>1133</v>
      </c>
      <c r="C909" s="4">
        <v>10083252</v>
      </c>
    </row>
    <row r="910" spans="1:3" ht="15.75" x14ac:dyDescent="0.25">
      <c r="A910" s="7" t="s">
        <v>2206</v>
      </c>
      <c r="B910" s="6" t="s">
        <v>2207</v>
      </c>
      <c r="C910" s="4">
        <v>10101900</v>
      </c>
    </row>
    <row r="911" spans="1:3" ht="15.75" x14ac:dyDescent="0.25">
      <c r="A911" s="7" t="s">
        <v>506</v>
      </c>
      <c r="B911" s="6" t="s">
        <v>507</v>
      </c>
      <c r="C911" s="4">
        <v>10112174</v>
      </c>
    </row>
    <row r="912" spans="1:3" ht="15.75" x14ac:dyDescent="0.25">
      <c r="A912" s="7" t="s">
        <v>281</v>
      </c>
      <c r="B912" s="6" t="s">
        <v>282</v>
      </c>
      <c r="C912" s="4">
        <v>10100154</v>
      </c>
    </row>
    <row r="913" spans="1:3" ht="15.75" x14ac:dyDescent="0.25">
      <c r="A913" s="7" t="s">
        <v>906</v>
      </c>
      <c r="B913" s="6" t="s">
        <v>907</v>
      </c>
      <c r="C913" s="4">
        <v>10084373</v>
      </c>
    </row>
    <row r="914" spans="1:3" ht="15.75" x14ac:dyDescent="0.25">
      <c r="A914" s="7" t="s">
        <v>908</v>
      </c>
      <c r="B914" s="6" t="s">
        <v>909</v>
      </c>
      <c r="C914" s="4">
        <v>10101478</v>
      </c>
    </row>
    <row r="915" spans="1:3" ht="15.75" x14ac:dyDescent="0.25">
      <c r="A915" s="7" t="s">
        <v>910</v>
      </c>
      <c r="B915" s="6" t="s">
        <v>911</v>
      </c>
      <c r="C915" s="4">
        <v>10084676</v>
      </c>
    </row>
    <row r="916" spans="1:3" ht="15.75" x14ac:dyDescent="0.25">
      <c r="A916" s="7" t="s">
        <v>637</v>
      </c>
      <c r="B916" s="6" t="s">
        <v>638</v>
      </c>
      <c r="C916" s="4">
        <v>10083184</v>
      </c>
    </row>
    <row r="917" spans="1:3" ht="15.75" x14ac:dyDescent="0.25">
      <c r="A917" s="7" t="s">
        <v>1130</v>
      </c>
      <c r="B917" s="6" t="s">
        <v>1131</v>
      </c>
      <c r="C917" s="4">
        <v>10087699</v>
      </c>
    </row>
    <row r="918" spans="1:3" ht="15.75" x14ac:dyDescent="0.25">
      <c r="A918" s="7" t="s">
        <v>763</v>
      </c>
      <c r="B918" s="6" t="s">
        <v>764</v>
      </c>
      <c r="C918" s="4">
        <v>10084569</v>
      </c>
    </row>
    <row r="919" spans="1:3" ht="15.75" x14ac:dyDescent="0.25">
      <c r="A919" s="7" t="s">
        <v>552</v>
      </c>
      <c r="B919" s="6" t="s">
        <v>553</v>
      </c>
      <c r="C919" s="4">
        <v>10036221</v>
      </c>
    </row>
    <row r="920" spans="1:3" ht="15.75" x14ac:dyDescent="0.25">
      <c r="A920" s="7" t="s">
        <v>1042</v>
      </c>
      <c r="B920" s="6" t="s">
        <v>1043</v>
      </c>
      <c r="C920" s="4">
        <v>10101319</v>
      </c>
    </row>
    <row r="921" spans="1:3" ht="15.75" x14ac:dyDescent="0.25">
      <c r="A921" s="7" t="s">
        <v>1521</v>
      </c>
      <c r="B921" s="6" t="s">
        <v>1522</v>
      </c>
      <c r="C921" s="4">
        <v>10103454</v>
      </c>
    </row>
    <row r="922" spans="1:3" ht="15.75" x14ac:dyDescent="0.25">
      <c r="A922" s="7" t="s">
        <v>2208</v>
      </c>
      <c r="B922" s="6" t="s">
        <v>2209</v>
      </c>
      <c r="C922" s="4">
        <v>10084452</v>
      </c>
    </row>
    <row r="923" spans="1:3" ht="15.75" x14ac:dyDescent="0.25">
      <c r="A923" s="7" t="s">
        <v>494</v>
      </c>
      <c r="B923" s="6" t="s">
        <v>495</v>
      </c>
      <c r="C923" s="4">
        <v>10022543</v>
      </c>
    </row>
    <row r="924" spans="1:3" ht="15.75" x14ac:dyDescent="0.25">
      <c r="A924" s="7" t="s">
        <v>695</v>
      </c>
      <c r="B924" s="6" t="s">
        <v>696</v>
      </c>
      <c r="C924" s="4">
        <v>10020496</v>
      </c>
    </row>
    <row r="925" spans="1:3" ht="15.75" x14ac:dyDescent="0.25">
      <c r="A925" s="7" t="s">
        <v>1038</v>
      </c>
      <c r="B925" s="6" t="s">
        <v>1039</v>
      </c>
      <c r="C925" s="4">
        <v>10085293</v>
      </c>
    </row>
    <row r="926" spans="1:3" ht="15.75" x14ac:dyDescent="0.25">
      <c r="A926" s="7" t="s">
        <v>373</v>
      </c>
      <c r="B926" s="6" t="s">
        <v>374</v>
      </c>
      <c r="C926" s="4">
        <v>10088698</v>
      </c>
    </row>
    <row r="927" spans="1:3" ht="15.75" x14ac:dyDescent="0.25">
      <c r="A927" s="7" t="s">
        <v>101</v>
      </c>
      <c r="B927" s="6" t="s">
        <v>102</v>
      </c>
      <c r="C927" s="4">
        <v>10077337</v>
      </c>
    </row>
    <row r="928" spans="1:3" ht="15.75" x14ac:dyDescent="0.25">
      <c r="A928" s="7" t="s">
        <v>751</v>
      </c>
      <c r="B928" s="6" t="s">
        <v>752</v>
      </c>
      <c r="C928" s="4">
        <v>10112342</v>
      </c>
    </row>
    <row r="929" spans="1:3" ht="15.75" x14ac:dyDescent="0.25">
      <c r="A929" s="7" t="s">
        <v>1523</v>
      </c>
      <c r="B929" s="6" t="s">
        <v>1524</v>
      </c>
      <c r="C929" s="4">
        <v>10023877</v>
      </c>
    </row>
    <row r="930" spans="1:3" ht="15.75" x14ac:dyDescent="0.25">
      <c r="A930" s="7" t="s">
        <v>1864</v>
      </c>
      <c r="B930" s="6" t="s">
        <v>1865</v>
      </c>
      <c r="C930" s="4">
        <v>10011391</v>
      </c>
    </row>
    <row r="931" spans="1:3" ht="15.75" x14ac:dyDescent="0.25">
      <c r="A931" s="7" t="s">
        <v>1525</v>
      </c>
      <c r="B931" s="6" t="s">
        <v>1526</v>
      </c>
      <c r="C931" s="4">
        <v>10011426</v>
      </c>
    </row>
    <row r="932" spans="1:3" ht="15.75" x14ac:dyDescent="0.25">
      <c r="A932" s="7" t="s">
        <v>1527</v>
      </c>
      <c r="B932" s="6" t="s">
        <v>1528</v>
      </c>
      <c r="C932" s="4">
        <v>10011347</v>
      </c>
    </row>
    <row r="933" spans="1:3" ht="15.75" x14ac:dyDescent="0.25">
      <c r="A933" s="7" t="s">
        <v>1529</v>
      </c>
      <c r="B933" s="6" t="s">
        <v>1530</v>
      </c>
      <c r="C933" s="4">
        <v>10011333</v>
      </c>
    </row>
    <row r="934" spans="1:3" ht="15.75" x14ac:dyDescent="0.25">
      <c r="A934" s="7" t="s">
        <v>1532</v>
      </c>
      <c r="B934" s="6" t="s">
        <v>1533</v>
      </c>
      <c r="C934" s="4">
        <v>10011349</v>
      </c>
    </row>
    <row r="935" spans="1:3" ht="15.75" x14ac:dyDescent="0.25">
      <c r="A935" s="7" t="s">
        <v>1534</v>
      </c>
      <c r="B935" s="6" t="s">
        <v>1535</v>
      </c>
      <c r="C935" s="4">
        <v>10011402</v>
      </c>
    </row>
    <row r="936" spans="1:3" ht="15.75" x14ac:dyDescent="0.25">
      <c r="A936" s="7" t="s">
        <v>1536</v>
      </c>
      <c r="B936" s="6" t="s">
        <v>1537</v>
      </c>
      <c r="C936" s="4">
        <v>10011393</v>
      </c>
    </row>
    <row r="937" spans="1:3" ht="15.75" x14ac:dyDescent="0.25">
      <c r="A937" s="7" t="s">
        <v>1538</v>
      </c>
      <c r="B937" s="6" t="s">
        <v>1539</v>
      </c>
      <c r="C937" s="4">
        <v>10051052</v>
      </c>
    </row>
    <row r="938" spans="1:3" ht="15.75" x14ac:dyDescent="0.25">
      <c r="A938" s="7" t="s">
        <v>1540</v>
      </c>
      <c r="B938" s="6" t="s">
        <v>1541</v>
      </c>
      <c r="C938" s="4">
        <v>10051653</v>
      </c>
    </row>
    <row r="939" spans="1:3" ht="15.75" x14ac:dyDescent="0.25">
      <c r="A939" s="7" t="s">
        <v>1542</v>
      </c>
      <c r="B939" s="6" t="s">
        <v>1543</v>
      </c>
      <c r="C939" s="4">
        <v>10051400</v>
      </c>
    </row>
    <row r="940" spans="1:3" ht="15.75" x14ac:dyDescent="0.25">
      <c r="A940" s="7" t="s">
        <v>1545</v>
      </c>
      <c r="B940" s="6" t="s">
        <v>1543</v>
      </c>
      <c r="C940" s="4">
        <v>10051401</v>
      </c>
    </row>
    <row r="941" spans="1:3" ht="15.75" x14ac:dyDescent="0.25">
      <c r="A941" s="7" t="s">
        <v>1544</v>
      </c>
      <c r="B941" s="6" t="s">
        <v>1543</v>
      </c>
      <c r="C941" s="4">
        <v>10051988</v>
      </c>
    </row>
    <row r="942" spans="1:3" ht="15.75" x14ac:dyDescent="0.25">
      <c r="A942" s="7" t="s">
        <v>1546</v>
      </c>
      <c r="B942" s="6" t="s">
        <v>1547</v>
      </c>
      <c r="C942" s="4">
        <v>10077743</v>
      </c>
    </row>
    <row r="943" spans="1:3" ht="15.75" x14ac:dyDescent="0.25">
      <c r="A943" s="7" t="s">
        <v>1548</v>
      </c>
      <c r="B943" s="6" t="s">
        <v>1549</v>
      </c>
      <c r="C943" s="4">
        <v>10077745</v>
      </c>
    </row>
    <row r="944" spans="1:3" ht="15.75" x14ac:dyDescent="0.25">
      <c r="A944" s="7" t="s">
        <v>1550</v>
      </c>
      <c r="B944" s="6" t="s">
        <v>1551</v>
      </c>
      <c r="C944" s="4">
        <v>10077744</v>
      </c>
    </row>
    <row r="945" spans="1:3" ht="15.75" x14ac:dyDescent="0.25">
      <c r="A945" s="7" t="s">
        <v>1552</v>
      </c>
      <c r="B945" s="6" t="s">
        <v>1553</v>
      </c>
      <c r="C945" s="4">
        <v>10052558</v>
      </c>
    </row>
    <row r="946" spans="1:3" ht="15.75" x14ac:dyDescent="0.25">
      <c r="A946" s="7" t="s">
        <v>1554</v>
      </c>
      <c r="B946" s="6" t="s">
        <v>1555</v>
      </c>
      <c r="C946" s="4">
        <v>10049611</v>
      </c>
    </row>
    <row r="947" spans="1:3" ht="15.75" x14ac:dyDescent="0.25">
      <c r="A947" s="7" t="s">
        <v>1556</v>
      </c>
      <c r="B947" s="6" t="s">
        <v>1557</v>
      </c>
      <c r="C947" s="4">
        <v>10064132</v>
      </c>
    </row>
    <row r="948" spans="1:3" ht="15.75" x14ac:dyDescent="0.25">
      <c r="A948" s="7" t="s">
        <v>1558</v>
      </c>
      <c r="B948" s="6" t="s">
        <v>1559</v>
      </c>
      <c r="C948" s="4">
        <v>10011418</v>
      </c>
    </row>
    <row r="949" spans="1:3" ht="15.75" x14ac:dyDescent="0.25">
      <c r="A949" s="7" t="s">
        <v>1560</v>
      </c>
      <c r="B949" s="6" t="s">
        <v>1561</v>
      </c>
      <c r="C949" s="4">
        <v>10011424</v>
      </c>
    </row>
    <row r="950" spans="1:3" ht="15.75" x14ac:dyDescent="0.25">
      <c r="A950" s="7" t="s">
        <v>1562</v>
      </c>
      <c r="B950" s="6" t="s">
        <v>1563</v>
      </c>
      <c r="C950" s="4">
        <v>10011419</v>
      </c>
    </row>
    <row r="951" spans="1:3" ht="15.75" x14ac:dyDescent="0.25">
      <c r="A951" s="7" t="s">
        <v>1564</v>
      </c>
      <c r="B951" s="6" t="s">
        <v>1565</v>
      </c>
      <c r="C951" s="4">
        <v>10046235</v>
      </c>
    </row>
    <row r="952" spans="1:3" ht="15.75" x14ac:dyDescent="0.25">
      <c r="A952" s="7" t="s">
        <v>1566</v>
      </c>
      <c r="B952" s="6" t="s">
        <v>1567</v>
      </c>
      <c r="C952" s="4">
        <v>10011336</v>
      </c>
    </row>
    <row r="953" spans="1:3" ht="15.75" x14ac:dyDescent="0.25">
      <c r="A953" s="7" t="s">
        <v>1531</v>
      </c>
      <c r="B953" s="6" t="s">
        <v>1870</v>
      </c>
      <c r="C953" s="4">
        <v>10011371</v>
      </c>
    </row>
    <row r="954" spans="1:3" ht="15.75" x14ac:dyDescent="0.25">
      <c r="A954" s="7" t="s">
        <v>1568</v>
      </c>
      <c r="B954" s="6" t="s">
        <v>1569</v>
      </c>
      <c r="C954" s="4">
        <v>10085218</v>
      </c>
    </row>
    <row r="955" spans="1:3" ht="15.75" x14ac:dyDescent="0.25">
      <c r="A955" s="7" t="s">
        <v>1570</v>
      </c>
      <c r="B955" s="6" t="s">
        <v>1571</v>
      </c>
      <c r="C955" s="4">
        <v>10076371</v>
      </c>
    </row>
    <row r="956" spans="1:3" ht="15.75" x14ac:dyDescent="0.25">
      <c r="A956" s="7" t="s">
        <v>1572</v>
      </c>
      <c r="B956" s="6" t="s">
        <v>1573</v>
      </c>
      <c r="C956" s="4">
        <v>10011417</v>
      </c>
    </row>
    <row r="957" spans="1:3" ht="15.75" x14ac:dyDescent="0.25">
      <c r="A957" s="7" t="s">
        <v>1574</v>
      </c>
      <c r="B957" s="6" t="s">
        <v>1575</v>
      </c>
      <c r="C957" s="4">
        <v>10086124</v>
      </c>
    </row>
    <row r="958" spans="1:3" ht="15.75" x14ac:dyDescent="0.25">
      <c r="A958" s="7" t="s">
        <v>1576</v>
      </c>
      <c r="B958" s="6" t="s">
        <v>1577</v>
      </c>
      <c r="C958" s="4">
        <v>10012882</v>
      </c>
    </row>
    <row r="959" spans="1:3" ht="15.75" x14ac:dyDescent="0.25">
      <c r="A959" s="7" t="s">
        <v>1578</v>
      </c>
      <c r="B959" s="6" t="s">
        <v>1579</v>
      </c>
      <c r="C959" s="4">
        <v>10011365</v>
      </c>
    </row>
    <row r="960" spans="1:3" ht="15.75" x14ac:dyDescent="0.25">
      <c r="A960" s="7" t="s">
        <v>1580</v>
      </c>
      <c r="B960" s="6" t="s">
        <v>1581</v>
      </c>
      <c r="C960" s="4">
        <v>10086385</v>
      </c>
    </row>
    <row r="961" spans="1:3" ht="15.75" x14ac:dyDescent="0.25">
      <c r="A961" s="7" t="s">
        <v>1582</v>
      </c>
      <c r="B961" s="6" t="s">
        <v>1583</v>
      </c>
      <c r="C961" s="4">
        <v>10011366</v>
      </c>
    </row>
    <row r="962" spans="1:3" ht="15.75" x14ac:dyDescent="0.25">
      <c r="A962" s="7" t="s">
        <v>1584</v>
      </c>
      <c r="B962" s="6" t="s">
        <v>1585</v>
      </c>
      <c r="C962" s="4">
        <v>10064081</v>
      </c>
    </row>
    <row r="963" spans="1:3" ht="15.75" x14ac:dyDescent="0.25">
      <c r="A963" s="7" t="s">
        <v>1586</v>
      </c>
      <c r="B963" s="6" t="s">
        <v>1587</v>
      </c>
      <c r="C963" s="4">
        <v>10116932</v>
      </c>
    </row>
    <row r="964" spans="1:3" ht="15.75" x14ac:dyDescent="0.25">
      <c r="A964" s="7" t="s">
        <v>1588</v>
      </c>
      <c r="B964" s="6" t="s">
        <v>1589</v>
      </c>
      <c r="C964" s="4">
        <v>10011369</v>
      </c>
    </row>
    <row r="965" spans="1:3" ht="15.75" x14ac:dyDescent="0.25">
      <c r="A965" s="7" t="s">
        <v>1590</v>
      </c>
      <c r="B965" s="6" t="s">
        <v>1591</v>
      </c>
      <c r="C965" s="4">
        <v>10086696</v>
      </c>
    </row>
    <row r="966" spans="1:3" ht="15.75" x14ac:dyDescent="0.25">
      <c r="A966" s="7" t="s">
        <v>1592</v>
      </c>
      <c r="B966" s="6" t="s">
        <v>1593</v>
      </c>
      <c r="C966" s="4">
        <v>10041848</v>
      </c>
    </row>
    <row r="967" spans="1:3" ht="15.75" x14ac:dyDescent="0.25">
      <c r="A967" s="7" t="s">
        <v>1594</v>
      </c>
      <c r="B967" s="6" t="s">
        <v>1595</v>
      </c>
      <c r="C967" s="4">
        <v>10058679</v>
      </c>
    </row>
    <row r="968" spans="1:3" ht="15.75" x14ac:dyDescent="0.25">
      <c r="A968" s="7" t="s">
        <v>1596</v>
      </c>
      <c r="B968" s="6" t="s">
        <v>1597</v>
      </c>
      <c r="C968" s="4">
        <v>10043513</v>
      </c>
    </row>
    <row r="969" spans="1:3" ht="15.75" x14ac:dyDescent="0.25">
      <c r="A969" s="7" t="s">
        <v>1598</v>
      </c>
      <c r="B969" s="6" t="s">
        <v>1599</v>
      </c>
      <c r="C969" s="4">
        <v>10089271</v>
      </c>
    </row>
    <row r="970" spans="1:3" ht="15.75" x14ac:dyDescent="0.25">
      <c r="A970" s="7" t="s">
        <v>1600</v>
      </c>
      <c r="B970" s="6" t="s">
        <v>1601</v>
      </c>
      <c r="C970" s="4">
        <v>10038592</v>
      </c>
    </row>
    <row r="971" spans="1:3" ht="15.75" x14ac:dyDescent="0.25">
      <c r="A971" s="7" t="s">
        <v>1604</v>
      </c>
      <c r="B971" s="6" t="s">
        <v>1603</v>
      </c>
      <c r="C971" s="4">
        <v>10046287</v>
      </c>
    </row>
    <row r="972" spans="1:3" ht="15.75" x14ac:dyDescent="0.25">
      <c r="A972" s="7" t="s">
        <v>1602</v>
      </c>
      <c r="B972" s="6" t="s">
        <v>1603</v>
      </c>
      <c r="C972" s="4">
        <v>10111898</v>
      </c>
    </row>
    <row r="973" spans="1:3" ht="15.75" x14ac:dyDescent="0.25">
      <c r="A973" s="7" t="s">
        <v>1605</v>
      </c>
      <c r="B973" s="6" t="s">
        <v>1606</v>
      </c>
      <c r="C973" s="4">
        <v>10106152</v>
      </c>
    </row>
    <row r="974" spans="1:3" ht="15.75" x14ac:dyDescent="0.25">
      <c r="A974" s="7" t="s">
        <v>1607</v>
      </c>
      <c r="B974" s="6" t="s">
        <v>1608</v>
      </c>
      <c r="C974" s="4">
        <v>10044725</v>
      </c>
    </row>
    <row r="975" spans="1:3" ht="15.75" x14ac:dyDescent="0.25">
      <c r="A975" s="7" t="s">
        <v>1609</v>
      </c>
      <c r="B975" s="6" t="s">
        <v>1610</v>
      </c>
      <c r="C975" s="4">
        <v>10030120</v>
      </c>
    </row>
    <row r="976" spans="1:3" ht="15.75" x14ac:dyDescent="0.25">
      <c r="A976" s="7" t="s">
        <v>1611</v>
      </c>
      <c r="B976" s="6" t="s">
        <v>1612</v>
      </c>
      <c r="C976" s="4">
        <v>10097229</v>
      </c>
    </row>
    <row r="977" spans="1:3" ht="15.75" x14ac:dyDescent="0.25">
      <c r="A977" s="7" t="s">
        <v>1615</v>
      </c>
      <c r="B977" s="6" t="s">
        <v>1614</v>
      </c>
      <c r="C977" s="4">
        <v>10064084</v>
      </c>
    </row>
    <row r="978" spans="1:3" ht="15.75" x14ac:dyDescent="0.25">
      <c r="A978" s="7" t="s">
        <v>1613</v>
      </c>
      <c r="B978" s="6" t="s">
        <v>1614</v>
      </c>
      <c r="C978" s="4">
        <v>10065640</v>
      </c>
    </row>
    <row r="979" spans="1:3" ht="15.75" x14ac:dyDescent="0.25">
      <c r="A979" s="7" t="s">
        <v>1616</v>
      </c>
      <c r="B979" s="6" t="s">
        <v>1617</v>
      </c>
      <c r="C979" s="4">
        <v>10058682</v>
      </c>
    </row>
    <row r="980" spans="1:3" ht="15.75" x14ac:dyDescent="0.25">
      <c r="A980" s="7" t="s">
        <v>1618</v>
      </c>
      <c r="B980" s="6" t="s">
        <v>1619</v>
      </c>
      <c r="C980" s="4">
        <v>10011389</v>
      </c>
    </row>
    <row r="981" spans="1:3" ht="15.75" x14ac:dyDescent="0.25">
      <c r="A981" s="7" t="s">
        <v>1620</v>
      </c>
      <c r="B981" s="6" t="s">
        <v>1621</v>
      </c>
      <c r="C981" s="4">
        <v>10011367</v>
      </c>
    </row>
    <row r="982" spans="1:3" ht="15.75" x14ac:dyDescent="0.25">
      <c r="A982" s="7" t="s">
        <v>1622</v>
      </c>
      <c r="B982" s="6" t="s">
        <v>1623</v>
      </c>
      <c r="C982" s="4">
        <v>10059973</v>
      </c>
    </row>
    <row r="983" spans="1:3" ht="15.75" x14ac:dyDescent="0.25">
      <c r="A983" s="7" t="s">
        <v>1624</v>
      </c>
      <c r="B983" s="6" t="s">
        <v>1625</v>
      </c>
      <c r="C983" s="4">
        <v>10011421</v>
      </c>
    </row>
    <row r="984" spans="1:3" ht="15.75" x14ac:dyDescent="0.25">
      <c r="A984" s="7" t="s">
        <v>1626</v>
      </c>
      <c r="B984" s="6" t="s">
        <v>1627</v>
      </c>
      <c r="C984" s="4">
        <v>10011375</v>
      </c>
    </row>
    <row r="985" spans="1:3" ht="15.75" x14ac:dyDescent="0.25">
      <c r="A985" s="7" t="s">
        <v>1628</v>
      </c>
      <c r="B985" s="6" t="s">
        <v>1629</v>
      </c>
      <c r="C985" s="4">
        <v>10011378</v>
      </c>
    </row>
    <row r="986" spans="1:3" ht="15.75" x14ac:dyDescent="0.25">
      <c r="A986" s="7" t="s">
        <v>1630</v>
      </c>
      <c r="B986" s="6" t="s">
        <v>1631</v>
      </c>
      <c r="C986" s="4">
        <v>10011372</v>
      </c>
    </row>
    <row r="987" spans="1:3" ht="15.75" x14ac:dyDescent="0.25">
      <c r="A987" s="7" t="s">
        <v>1632</v>
      </c>
      <c r="B987" s="6" t="s">
        <v>1631</v>
      </c>
      <c r="C987" s="4">
        <v>10011374</v>
      </c>
    </row>
    <row r="988" spans="1:3" ht="15.75" x14ac:dyDescent="0.25">
      <c r="A988" s="7" t="s">
        <v>2210</v>
      </c>
      <c r="B988" s="6" t="s">
        <v>2211</v>
      </c>
      <c r="C988" s="4">
        <v>10089094</v>
      </c>
    </row>
    <row r="989" spans="1:3" ht="15.75" x14ac:dyDescent="0.25">
      <c r="A989" s="7" t="s">
        <v>862</v>
      </c>
      <c r="B989" s="6" t="s">
        <v>863</v>
      </c>
      <c r="C989" s="4">
        <v>10078456</v>
      </c>
    </row>
    <row r="990" spans="1:3" ht="15.75" x14ac:dyDescent="0.25">
      <c r="A990" s="7" t="s">
        <v>2212</v>
      </c>
      <c r="B990" s="6" t="s">
        <v>2213</v>
      </c>
      <c r="C990" s="4">
        <v>10147821</v>
      </c>
    </row>
    <row r="991" spans="1:3" ht="15.75" x14ac:dyDescent="0.25">
      <c r="A991" s="7" t="s">
        <v>2214</v>
      </c>
      <c r="B991" s="6" t="s">
        <v>2215</v>
      </c>
      <c r="C991" s="4">
        <v>10143802</v>
      </c>
    </row>
    <row r="992" spans="1:3" ht="15.75" x14ac:dyDescent="0.25">
      <c r="A992" s="7" t="s">
        <v>2216</v>
      </c>
      <c r="B992" s="6" t="s">
        <v>2217</v>
      </c>
      <c r="C992" s="4">
        <v>10146311</v>
      </c>
    </row>
    <row r="993" spans="1:3" ht="15.75" x14ac:dyDescent="0.25">
      <c r="A993" s="7" t="s">
        <v>2218</v>
      </c>
      <c r="B993" s="6" t="s">
        <v>2219</v>
      </c>
      <c r="C993" s="4">
        <v>10143857</v>
      </c>
    </row>
    <row r="994" spans="1:3" ht="15.75" x14ac:dyDescent="0.25">
      <c r="A994" s="7" t="s">
        <v>693</v>
      </c>
      <c r="B994" s="6" t="s">
        <v>694</v>
      </c>
      <c r="C994" s="4">
        <v>10143791</v>
      </c>
    </row>
    <row r="995" spans="1:3" ht="15.75" x14ac:dyDescent="0.25">
      <c r="A995" s="7" t="s">
        <v>2220</v>
      </c>
      <c r="B995" s="6" t="s">
        <v>2221</v>
      </c>
      <c r="C995" s="4">
        <v>10018729</v>
      </c>
    </row>
    <row r="996" spans="1:3" ht="15.75" x14ac:dyDescent="0.25">
      <c r="A996" s="7" t="s">
        <v>1868</v>
      </c>
      <c r="B996" s="6" t="s">
        <v>1869</v>
      </c>
      <c r="C996" s="4">
        <v>10086247</v>
      </c>
    </row>
    <row r="997" spans="1:3" ht="15.75" x14ac:dyDescent="0.25">
      <c r="A997" s="7" t="s">
        <v>2222</v>
      </c>
      <c r="B997" s="6" t="s">
        <v>2223</v>
      </c>
      <c r="C997" s="4">
        <v>10105688</v>
      </c>
    </row>
    <row r="998" spans="1:3" ht="15.75" x14ac:dyDescent="0.25">
      <c r="A998" s="7" t="s">
        <v>2224</v>
      </c>
      <c r="B998" s="6" t="s">
        <v>2223</v>
      </c>
      <c r="C998" s="4">
        <v>10137550</v>
      </c>
    </row>
    <row r="999" spans="1:3" ht="15.75" x14ac:dyDescent="0.25">
      <c r="A999" s="7" t="s">
        <v>2225</v>
      </c>
      <c r="B999" s="6" t="s">
        <v>2226</v>
      </c>
      <c r="C999" s="4">
        <v>10145256</v>
      </c>
    </row>
    <row r="1000" spans="1:3" ht="15.75" x14ac:dyDescent="0.25">
      <c r="A1000" s="7" t="s">
        <v>2227</v>
      </c>
      <c r="B1000" s="6" t="s">
        <v>2228</v>
      </c>
      <c r="C1000" s="4">
        <v>10082961</v>
      </c>
    </row>
    <row r="1001" spans="1:3" ht="15.75" x14ac:dyDescent="0.25">
      <c r="A1001" s="7" t="s">
        <v>2229</v>
      </c>
      <c r="B1001" s="6" t="s">
        <v>2230</v>
      </c>
      <c r="C1001" s="4">
        <v>10094322</v>
      </c>
    </row>
    <row r="1002" spans="1:3" ht="15.75" x14ac:dyDescent="0.25">
      <c r="A1002" s="7" t="s">
        <v>2231</v>
      </c>
      <c r="B1002" s="6" t="s">
        <v>2232</v>
      </c>
      <c r="C1002" s="4">
        <v>10091969</v>
      </c>
    </row>
    <row r="1003" spans="1:3" ht="15.75" x14ac:dyDescent="0.25">
      <c r="A1003" s="7" t="s">
        <v>2233</v>
      </c>
      <c r="B1003" s="6" t="s">
        <v>2234</v>
      </c>
      <c r="C1003" s="4">
        <v>10132572</v>
      </c>
    </row>
    <row r="1004" spans="1:3" ht="15.75" x14ac:dyDescent="0.25">
      <c r="A1004" s="7" t="s">
        <v>2235</v>
      </c>
      <c r="B1004" s="6" t="s">
        <v>2236</v>
      </c>
      <c r="C1004" s="4">
        <v>10145426</v>
      </c>
    </row>
    <row r="1005" spans="1:3" ht="15.75" x14ac:dyDescent="0.25">
      <c r="A1005" s="7" t="s">
        <v>2237</v>
      </c>
      <c r="B1005" s="6" t="s">
        <v>2238</v>
      </c>
      <c r="C1005" s="4">
        <v>10033778</v>
      </c>
    </row>
    <row r="1006" spans="1:3" ht="15.75" x14ac:dyDescent="0.25">
      <c r="A1006" s="7" t="s">
        <v>2239</v>
      </c>
      <c r="B1006" s="6" t="s">
        <v>2240</v>
      </c>
      <c r="C1006" s="4">
        <v>10037710</v>
      </c>
    </row>
    <row r="1007" spans="1:3" ht="15.75" x14ac:dyDescent="0.25">
      <c r="A1007" s="7" t="s">
        <v>2241</v>
      </c>
      <c r="B1007" s="6" t="s">
        <v>2242</v>
      </c>
      <c r="C1007" s="4">
        <v>10101397</v>
      </c>
    </row>
    <row r="1008" spans="1:3" ht="15.75" x14ac:dyDescent="0.25">
      <c r="A1008" s="7" t="s">
        <v>1633</v>
      </c>
      <c r="B1008" s="6" t="s">
        <v>1634</v>
      </c>
      <c r="C1008" s="4">
        <v>10083833</v>
      </c>
    </row>
    <row r="1009" spans="1:3" ht="15.75" x14ac:dyDescent="0.25">
      <c r="A1009" s="7" t="s">
        <v>1635</v>
      </c>
      <c r="B1009" s="6" t="s">
        <v>1636</v>
      </c>
      <c r="C1009" s="4">
        <v>10010685</v>
      </c>
    </row>
    <row r="1010" spans="1:3" ht="15.75" x14ac:dyDescent="0.25">
      <c r="A1010" s="7" t="s">
        <v>2243</v>
      </c>
      <c r="B1010" s="6" t="s">
        <v>2244</v>
      </c>
      <c r="C1010" s="4">
        <v>10102197</v>
      </c>
    </row>
    <row r="1011" spans="1:3" ht="15.75" x14ac:dyDescent="0.25">
      <c r="A1011" s="7" t="s">
        <v>2245</v>
      </c>
      <c r="B1011" s="6" t="s">
        <v>2246</v>
      </c>
      <c r="C1011" s="4">
        <v>10093848</v>
      </c>
    </row>
    <row r="1012" spans="1:3" ht="15.75" x14ac:dyDescent="0.25">
      <c r="A1012" s="7" t="s">
        <v>1637</v>
      </c>
      <c r="B1012" s="6" t="s">
        <v>1638</v>
      </c>
      <c r="C1012" s="4">
        <v>10009991</v>
      </c>
    </row>
    <row r="1013" spans="1:3" ht="15.75" x14ac:dyDescent="0.25">
      <c r="A1013" s="7" t="s">
        <v>1639</v>
      </c>
      <c r="B1013" s="6" t="s">
        <v>1640</v>
      </c>
      <c r="C1013" s="4">
        <v>10029987</v>
      </c>
    </row>
    <row r="1014" spans="1:3" ht="15.75" x14ac:dyDescent="0.25">
      <c r="A1014" s="7" t="s">
        <v>1641</v>
      </c>
      <c r="B1014" s="6" t="s">
        <v>1642</v>
      </c>
      <c r="C1014" s="4">
        <v>10028055</v>
      </c>
    </row>
    <row r="1015" spans="1:3" ht="15.75" x14ac:dyDescent="0.25">
      <c r="A1015" s="7" t="s">
        <v>1643</v>
      </c>
      <c r="B1015" s="6" t="s">
        <v>1644</v>
      </c>
      <c r="C1015" s="4">
        <v>10001547</v>
      </c>
    </row>
    <row r="1016" spans="1:3" ht="15.75" x14ac:dyDescent="0.25">
      <c r="A1016" s="7" t="s">
        <v>1645</v>
      </c>
      <c r="B1016" s="6" t="s">
        <v>1646</v>
      </c>
      <c r="C1016" s="4">
        <v>10000680</v>
      </c>
    </row>
    <row r="1017" spans="1:3" ht="15.75" x14ac:dyDescent="0.25">
      <c r="A1017" s="7" t="s">
        <v>1647</v>
      </c>
      <c r="B1017" s="6" t="s">
        <v>1648</v>
      </c>
      <c r="C1017" s="4">
        <v>10000486</v>
      </c>
    </row>
    <row r="1018" spans="1:3" ht="15.75" x14ac:dyDescent="0.25">
      <c r="A1018" s="7" t="s">
        <v>1649</v>
      </c>
      <c r="B1018" s="6" t="s">
        <v>1650</v>
      </c>
      <c r="C1018" s="4">
        <v>10010315</v>
      </c>
    </row>
    <row r="1019" spans="1:3" ht="15.75" x14ac:dyDescent="0.25">
      <c r="A1019" s="7" t="s">
        <v>1651</v>
      </c>
      <c r="B1019" s="6" t="s">
        <v>1652</v>
      </c>
      <c r="C1019" s="4">
        <v>10011063</v>
      </c>
    </row>
    <row r="1020" spans="1:3" ht="15.75" x14ac:dyDescent="0.25">
      <c r="A1020" s="7" t="s">
        <v>1810</v>
      </c>
      <c r="B1020" s="6" t="s">
        <v>1811</v>
      </c>
      <c r="C1020" s="4">
        <v>10076006</v>
      </c>
    </row>
    <row r="1021" spans="1:3" ht="15.75" x14ac:dyDescent="0.25">
      <c r="A1021" s="7" t="s">
        <v>1681</v>
      </c>
      <c r="B1021" s="6" t="s">
        <v>1682</v>
      </c>
      <c r="C1021" s="4">
        <v>10007017</v>
      </c>
    </row>
    <row r="1022" spans="1:3" ht="15.75" x14ac:dyDescent="0.25">
      <c r="A1022" s="7" t="s">
        <v>1741</v>
      </c>
      <c r="B1022" s="6" t="s">
        <v>1742</v>
      </c>
      <c r="C1022" s="4">
        <v>10050627</v>
      </c>
    </row>
    <row r="1023" spans="1:3" ht="15.75" x14ac:dyDescent="0.25">
      <c r="A1023" s="7" t="s">
        <v>1706</v>
      </c>
      <c r="B1023" s="6" t="s">
        <v>1707</v>
      </c>
      <c r="C1023" s="4">
        <v>10009560</v>
      </c>
    </row>
    <row r="1024" spans="1:3" ht="15.75" x14ac:dyDescent="0.25">
      <c r="A1024" s="7" t="s">
        <v>1771</v>
      </c>
      <c r="B1024" s="6" t="s">
        <v>1772</v>
      </c>
      <c r="C1024" s="4">
        <v>10046488</v>
      </c>
    </row>
    <row r="1025" spans="1:3" ht="15.75" x14ac:dyDescent="0.25">
      <c r="A1025" s="7" t="s">
        <v>1773</v>
      </c>
      <c r="B1025" s="6" t="s">
        <v>1772</v>
      </c>
      <c r="C1025" s="4">
        <v>10084739</v>
      </c>
    </row>
    <row r="1026" spans="1:3" ht="15.75" x14ac:dyDescent="0.25">
      <c r="A1026" s="7" t="s">
        <v>1786</v>
      </c>
      <c r="B1026" s="6" t="s">
        <v>1787</v>
      </c>
      <c r="C1026" s="4">
        <v>10148168</v>
      </c>
    </row>
    <row r="1027" spans="1:3" ht="15.75" x14ac:dyDescent="0.25">
      <c r="A1027" s="7" t="s">
        <v>1837</v>
      </c>
      <c r="B1027" s="6" t="s">
        <v>1787</v>
      </c>
      <c r="C1027" s="4">
        <v>10149402</v>
      </c>
    </row>
    <row r="1028" spans="1:3" ht="15.75" x14ac:dyDescent="0.25">
      <c r="A1028" s="7" t="s">
        <v>1766</v>
      </c>
      <c r="B1028" s="6" t="s">
        <v>1767</v>
      </c>
      <c r="C1028" s="4">
        <v>10094481</v>
      </c>
    </row>
    <row r="1029" spans="1:3" ht="15.75" x14ac:dyDescent="0.25">
      <c r="A1029" s="7" t="s">
        <v>1825</v>
      </c>
      <c r="B1029" s="6" t="s">
        <v>1826</v>
      </c>
      <c r="C1029" s="4">
        <v>10017412</v>
      </c>
    </row>
    <row r="1030" spans="1:3" ht="15.75" x14ac:dyDescent="0.25">
      <c r="A1030" s="7" t="s">
        <v>1817</v>
      </c>
      <c r="B1030" s="6" t="s">
        <v>1818</v>
      </c>
      <c r="C1030" s="4">
        <v>10089050</v>
      </c>
    </row>
    <row r="1031" spans="1:3" ht="15.75" x14ac:dyDescent="0.25">
      <c r="A1031" s="7" t="s">
        <v>1757</v>
      </c>
      <c r="B1031" s="6" t="s">
        <v>1740</v>
      </c>
      <c r="C1031" s="4">
        <v>10136846</v>
      </c>
    </row>
    <row r="1032" spans="1:3" ht="15.75" x14ac:dyDescent="0.25">
      <c r="A1032" s="7" t="s">
        <v>1739</v>
      </c>
      <c r="B1032" s="6" t="s">
        <v>1740</v>
      </c>
      <c r="C1032" s="4">
        <v>10136847</v>
      </c>
    </row>
    <row r="1033" spans="1:3" ht="15.75" x14ac:dyDescent="0.25">
      <c r="A1033" s="7" t="s">
        <v>1743</v>
      </c>
      <c r="B1033" s="6" t="s">
        <v>1740</v>
      </c>
      <c r="C1033" s="4">
        <v>10136848</v>
      </c>
    </row>
    <row r="1034" spans="1:3" ht="15.75" x14ac:dyDescent="0.25">
      <c r="A1034" s="7" t="s">
        <v>1746</v>
      </c>
      <c r="B1034" s="6" t="s">
        <v>1740</v>
      </c>
      <c r="C1034" s="4">
        <v>10136849</v>
      </c>
    </row>
    <row r="1035" spans="1:3" ht="15.75" x14ac:dyDescent="0.25">
      <c r="A1035" s="7" t="s">
        <v>1745</v>
      </c>
      <c r="B1035" s="6" t="s">
        <v>1740</v>
      </c>
      <c r="C1035" s="4">
        <v>10136850</v>
      </c>
    </row>
    <row r="1036" spans="1:3" ht="15.75" x14ac:dyDescent="0.25">
      <c r="A1036" s="7" t="s">
        <v>1744</v>
      </c>
      <c r="B1036" s="6" t="s">
        <v>1740</v>
      </c>
      <c r="C1036" s="4">
        <v>10136851</v>
      </c>
    </row>
    <row r="1037" spans="1:3" ht="15.75" x14ac:dyDescent="0.25">
      <c r="A1037" s="7" t="s">
        <v>1835</v>
      </c>
      <c r="B1037" s="6" t="s">
        <v>1836</v>
      </c>
      <c r="C1037" s="4">
        <v>10026191</v>
      </c>
    </row>
    <row r="1038" spans="1:3" ht="15.75" x14ac:dyDescent="0.25">
      <c r="A1038" s="7" t="s">
        <v>1716</v>
      </c>
      <c r="B1038" s="6" t="s">
        <v>1717</v>
      </c>
      <c r="C1038" s="4">
        <v>10144449</v>
      </c>
    </row>
    <row r="1039" spans="1:3" ht="15.75" x14ac:dyDescent="0.25">
      <c r="A1039" s="7" t="s">
        <v>1815</v>
      </c>
      <c r="B1039" s="6" t="s">
        <v>1816</v>
      </c>
      <c r="C1039" s="4">
        <v>10013603</v>
      </c>
    </row>
    <row r="1040" spans="1:3" ht="15.75" x14ac:dyDescent="0.25">
      <c r="A1040" s="7" t="s">
        <v>1799</v>
      </c>
      <c r="B1040" s="6" t="s">
        <v>1701</v>
      </c>
      <c r="C1040" s="4">
        <v>10003657</v>
      </c>
    </row>
    <row r="1041" spans="1:3" ht="15.75" x14ac:dyDescent="0.25">
      <c r="A1041" s="7" t="s">
        <v>1715</v>
      </c>
      <c r="B1041" s="6" t="s">
        <v>1701</v>
      </c>
      <c r="C1041" s="4">
        <v>10010728</v>
      </c>
    </row>
    <row r="1042" spans="1:3" ht="15.75" x14ac:dyDescent="0.25">
      <c r="A1042" s="7" t="s">
        <v>1829</v>
      </c>
      <c r="B1042" s="6" t="s">
        <v>1701</v>
      </c>
      <c r="C1042" s="4">
        <v>10013737</v>
      </c>
    </row>
    <row r="1043" spans="1:3" ht="15.75" x14ac:dyDescent="0.25">
      <c r="A1043" s="7" t="s">
        <v>1832</v>
      </c>
      <c r="B1043" s="6" t="s">
        <v>1701</v>
      </c>
      <c r="C1043" s="4">
        <v>10013802</v>
      </c>
    </row>
    <row r="1044" spans="1:3" ht="15.75" x14ac:dyDescent="0.25">
      <c r="A1044" s="7" t="s">
        <v>1845</v>
      </c>
      <c r="B1044" s="6" t="s">
        <v>1701</v>
      </c>
      <c r="C1044" s="4">
        <v>10013913</v>
      </c>
    </row>
    <row r="1045" spans="1:3" ht="15.75" x14ac:dyDescent="0.25">
      <c r="A1045" s="7" t="s">
        <v>1763</v>
      </c>
      <c r="B1045" s="6" t="s">
        <v>1701</v>
      </c>
      <c r="C1045" s="4">
        <v>10021015</v>
      </c>
    </row>
    <row r="1046" spans="1:3" ht="15.75" x14ac:dyDescent="0.25">
      <c r="A1046" s="7" t="s">
        <v>1700</v>
      </c>
      <c r="B1046" s="6" t="s">
        <v>1701</v>
      </c>
      <c r="C1046" s="4">
        <v>10024183</v>
      </c>
    </row>
    <row r="1047" spans="1:3" ht="15.75" x14ac:dyDescent="0.25">
      <c r="A1047" s="7" t="s">
        <v>1812</v>
      </c>
      <c r="B1047" s="6" t="s">
        <v>1701</v>
      </c>
      <c r="C1047" s="4">
        <v>10031607</v>
      </c>
    </row>
    <row r="1048" spans="1:3" ht="15.75" x14ac:dyDescent="0.25">
      <c r="A1048" s="7" t="s">
        <v>1819</v>
      </c>
      <c r="B1048" s="6" t="s">
        <v>1701</v>
      </c>
      <c r="C1048" s="4">
        <v>10045531</v>
      </c>
    </row>
    <row r="1049" spans="1:3" ht="15.75" x14ac:dyDescent="0.25">
      <c r="A1049" s="7" t="s">
        <v>1725</v>
      </c>
      <c r="B1049" s="6" t="s">
        <v>1701</v>
      </c>
      <c r="C1049" s="4">
        <v>10106865</v>
      </c>
    </row>
    <row r="1050" spans="1:3" ht="15.75" x14ac:dyDescent="0.25">
      <c r="A1050" s="7" t="s">
        <v>1809</v>
      </c>
      <c r="B1050" s="6" t="s">
        <v>1701</v>
      </c>
      <c r="C1050" s="4">
        <v>10141630</v>
      </c>
    </row>
    <row r="1051" spans="1:3" ht="15.75" x14ac:dyDescent="0.25">
      <c r="A1051" s="7" t="s">
        <v>1784</v>
      </c>
      <c r="B1051" s="6" t="s">
        <v>1785</v>
      </c>
      <c r="C1051" s="4">
        <v>10034004</v>
      </c>
    </row>
    <row r="1052" spans="1:3" ht="15.75" x14ac:dyDescent="0.25">
      <c r="A1052" s="7" t="s">
        <v>1840</v>
      </c>
      <c r="B1052" s="6" t="s">
        <v>1841</v>
      </c>
      <c r="C1052" s="4">
        <v>10027999</v>
      </c>
    </row>
    <row r="1053" spans="1:3" ht="15.75" x14ac:dyDescent="0.25">
      <c r="A1053" s="7" t="s">
        <v>1721</v>
      </c>
      <c r="B1053" s="6" t="s">
        <v>1722</v>
      </c>
      <c r="C1053" s="4">
        <v>10030780</v>
      </c>
    </row>
    <row r="1054" spans="1:3" ht="15.75" x14ac:dyDescent="0.25">
      <c r="A1054" s="7" t="s">
        <v>1833</v>
      </c>
      <c r="B1054" s="6" t="s">
        <v>1834</v>
      </c>
      <c r="C1054" s="4">
        <v>10026911</v>
      </c>
    </row>
    <row r="1055" spans="1:3" ht="15.75" x14ac:dyDescent="0.25">
      <c r="A1055" s="7" t="s">
        <v>1751</v>
      </c>
      <c r="B1055" s="6" t="s">
        <v>1752</v>
      </c>
      <c r="C1055" s="4">
        <v>10036768</v>
      </c>
    </row>
    <row r="1056" spans="1:3" ht="15.75" x14ac:dyDescent="0.25">
      <c r="A1056" s="7" t="s">
        <v>1813</v>
      </c>
      <c r="B1056" s="6" t="s">
        <v>1814</v>
      </c>
      <c r="C1056" s="4">
        <v>10039127</v>
      </c>
    </row>
    <row r="1057" spans="1:3" ht="15.75" x14ac:dyDescent="0.25">
      <c r="A1057" s="7" t="s">
        <v>1750</v>
      </c>
      <c r="B1057" s="6" t="s">
        <v>1680</v>
      </c>
      <c r="C1057" s="4">
        <v>10015088</v>
      </c>
    </row>
    <row r="1058" spans="1:3" ht="15.75" x14ac:dyDescent="0.25">
      <c r="A1058" s="7" t="s">
        <v>1783</v>
      </c>
      <c r="B1058" s="6" t="s">
        <v>1680</v>
      </c>
      <c r="C1058" s="4">
        <v>10018955</v>
      </c>
    </row>
    <row r="1059" spans="1:3" ht="15.75" x14ac:dyDescent="0.25">
      <c r="A1059" s="7" t="s">
        <v>1687</v>
      </c>
      <c r="B1059" s="6" t="s">
        <v>1680</v>
      </c>
      <c r="C1059" s="4">
        <v>10019619</v>
      </c>
    </row>
    <row r="1060" spans="1:3" ht="15.75" x14ac:dyDescent="0.25">
      <c r="A1060" s="7" t="s">
        <v>1768</v>
      </c>
      <c r="B1060" s="6" t="s">
        <v>1680</v>
      </c>
      <c r="C1060" s="4">
        <v>10025229</v>
      </c>
    </row>
    <row r="1061" spans="1:3" ht="15.75" x14ac:dyDescent="0.25">
      <c r="A1061" s="7" t="s">
        <v>1726</v>
      </c>
      <c r="B1061" s="6" t="s">
        <v>1680</v>
      </c>
      <c r="C1061" s="4">
        <v>10027885</v>
      </c>
    </row>
    <row r="1062" spans="1:3" ht="15.75" x14ac:dyDescent="0.25">
      <c r="A1062" s="7" t="s">
        <v>1731</v>
      </c>
      <c r="B1062" s="6" t="s">
        <v>1680</v>
      </c>
      <c r="C1062" s="4">
        <v>10043636</v>
      </c>
    </row>
    <row r="1063" spans="1:3" ht="15.75" x14ac:dyDescent="0.25">
      <c r="A1063" s="7" t="s">
        <v>1718</v>
      </c>
      <c r="B1063" s="6" t="s">
        <v>1680</v>
      </c>
      <c r="C1063" s="4">
        <v>10045675</v>
      </c>
    </row>
    <row r="1064" spans="1:3" ht="15.75" x14ac:dyDescent="0.25">
      <c r="A1064" s="7" t="s">
        <v>1790</v>
      </c>
      <c r="B1064" s="6" t="s">
        <v>1680</v>
      </c>
      <c r="C1064" s="4">
        <v>10083938</v>
      </c>
    </row>
    <row r="1065" spans="1:3" ht="15.75" x14ac:dyDescent="0.25">
      <c r="A1065" s="7" t="s">
        <v>1824</v>
      </c>
      <c r="B1065" s="6" t="s">
        <v>1680</v>
      </c>
      <c r="C1065" s="4">
        <v>10084664</v>
      </c>
    </row>
    <row r="1066" spans="1:3" ht="15.75" x14ac:dyDescent="0.25">
      <c r="A1066" s="7" t="s">
        <v>1753</v>
      </c>
      <c r="B1066" s="6" t="s">
        <v>1680</v>
      </c>
      <c r="C1066" s="4">
        <v>10085631</v>
      </c>
    </row>
    <row r="1067" spans="1:3" ht="15.75" x14ac:dyDescent="0.25">
      <c r="A1067" s="7" t="s">
        <v>1679</v>
      </c>
      <c r="B1067" s="6" t="s">
        <v>1680</v>
      </c>
      <c r="C1067" s="4">
        <v>10088695</v>
      </c>
    </row>
    <row r="1068" spans="1:3" ht="15.75" x14ac:dyDescent="0.25">
      <c r="A1068" s="7" t="s">
        <v>1736</v>
      </c>
      <c r="B1068" s="6" t="s">
        <v>1680</v>
      </c>
      <c r="C1068" s="4">
        <v>10095106</v>
      </c>
    </row>
    <row r="1069" spans="1:3" ht="15.75" x14ac:dyDescent="0.25">
      <c r="A1069" s="7" t="s">
        <v>1755</v>
      </c>
      <c r="B1069" s="6" t="s">
        <v>1756</v>
      </c>
      <c r="C1069" s="4">
        <v>10015130</v>
      </c>
    </row>
    <row r="1070" spans="1:3" ht="15.75" x14ac:dyDescent="0.25">
      <c r="A1070" s="7" t="s">
        <v>1692</v>
      </c>
      <c r="B1070" s="6" t="s">
        <v>1693</v>
      </c>
      <c r="C1070" s="4">
        <v>10051899</v>
      </c>
    </row>
    <row r="1071" spans="1:3" ht="15.75" x14ac:dyDescent="0.25">
      <c r="A1071" s="7" t="s">
        <v>1737</v>
      </c>
      <c r="B1071" s="6" t="s">
        <v>1738</v>
      </c>
      <c r="C1071" s="4">
        <v>10083591</v>
      </c>
    </row>
    <row r="1072" spans="1:3" ht="15.75" x14ac:dyDescent="0.25">
      <c r="A1072" s="7" t="s">
        <v>1788</v>
      </c>
      <c r="B1072" s="6" t="s">
        <v>1789</v>
      </c>
      <c r="C1072" s="4">
        <v>10094210</v>
      </c>
    </row>
    <row r="1073" spans="1:3" ht="15.75" x14ac:dyDescent="0.25">
      <c r="A1073" s="7" t="s">
        <v>1727</v>
      </c>
      <c r="B1073" s="6" t="s">
        <v>1728</v>
      </c>
      <c r="C1073" s="4">
        <v>10033031</v>
      </c>
    </row>
    <row r="1074" spans="1:3" ht="15.75" x14ac:dyDescent="0.25">
      <c r="A1074" s="7" t="s">
        <v>1749</v>
      </c>
      <c r="B1074" s="6" t="s">
        <v>1728</v>
      </c>
      <c r="C1074" s="4">
        <v>10082971</v>
      </c>
    </row>
    <row r="1075" spans="1:3" ht="15.75" x14ac:dyDescent="0.25">
      <c r="A1075" s="7" t="s">
        <v>1805</v>
      </c>
      <c r="B1075" s="6" t="s">
        <v>1806</v>
      </c>
      <c r="C1075" s="4">
        <v>10031377</v>
      </c>
    </row>
    <row r="1076" spans="1:3" ht="15.75" x14ac:dyDescent="0.25">
      <c r="A1076" s="7" t="s">
        <v>1828</v>
      </c>
      <c r="B1076" s="6" t="s">
        <v>1735</v>
      </c>
      <c r="C1076" s="4">
        <v>10004483</v>
      </c>
    </row>
    <row r="1077" spans="1:3" ht="15.75" x14ac:dyDescent="0.25">
      <c r="A1077" s="7" t="s">
        <v>1734</v>
      </c>
      <c r="B1077" s="6" t="s">
        <v>1735</v>
      </c>
      <c r="C1077" s="4">
        <v>10035855</v>
      </c>
    </row>
    <row r="1078" spans="1:3" ht="15.75" x14ac:dyDescent="0.25">
      <c r="A1078" s="7" t="s">
        <v>1653</v>
      </c>
      <c r="B1078" s="6" t="s">
        <v>1654</v>
      </c>
      <c r="C1078" s="4">
        <v>10147819</v>
      </c>
    </row>
    <row r="1079" spans="1:3" ht="15.75" x14ac:dyDescent="0.25">
      <c r="A1079" s="7" t="s">
        <v>1791</v>
      </c>
      <c r="B1079" s="6" t="s">
        <v>1792</v>
      </c>
      <c r="C1079" s="4">
        <v>10125059</v>
      </c>
    </row>
    <row r="1080" spans="1:3" ht="15.75" x14ac:dyDescent="0.25">
      <c r="A1080" s="7" t="s">
        <v>1732</v>
      </c>
      <c r="B1080" s="6" t="s">
        <v>1733</v>
      </c>
      <c r="C1080" s="4">
        <v>10118792</v>
      </c>
    </row>
    <row r="1081" spans="1:3" ht="15.75" x14ac:dyDescent="0.25">
      <c r="A1081" s="7" t="s">
        <v>1729</v>
      </c>
      <c r="B1081" s="6" t="s">
        <v>1730</v>
      </c>
      <c r="C1081" s="4">
        <v>10042543</v>
      </c>
    </row>
    <row r="1082" spans="1:3" ht="15.75" x14ac:dyDescent="0.25">
      <c r="A1082" s="7" t="s">
        <v>1677</v>
      </c>
      <c r="B1082" s="6" t="s">
        <v>1678</v>
      </c>
      <c r="C1082" s="4">
        <v>10006146</v>
      </c>
    </row>
    <row r="1083" spans="1:3" ht="15.75" x14ac:dyDescent="0.25">
      <c r="A1083" s="7" t="s">
        <v>1760</v>
      </c>
      <c r="B1083" s="6" t="s">
        <v>1711</v>
      </c>
      <c r="C1083" s="4">
        <v>10078610</v>
      </c>
    </row>
    <row r="1084" spans="1:3" ht="15.75" x14ac:dyDescent="0.25">
      <c r="A1084" s="7" t="s">
        <v>1710</v>
      </c>
      <c r="B1084" s="6" t="s">
        <v>1711</v>
      </c>
      <c r="C1084" s="4">
        <v>10100475</v>
      </c>
    </row>
    <row r="1085" spans="1:3" ht="15.75" x14ac:dyDescent="0.25">
      <c r="A1085" s="7" t="s">
        <v>1719</v>
      </c>
      <c r="B1085" s="6" t="s">
        <v>1720</v>
      </c>
      <c r="C1085" s="4">
        <v>10083004</v>
      </c>
    </row>
    <row r="1086" spans="1:3" ht="15.75" x14ac:dyDescent="0.25">
      <c r="A1086" s="7" t="s">
        <v>1685</v>
      </c>
      <c r="B1086" s="6" t="s">
        <v>1686</v>
      </c>
      <c r="C1086" s="4">
        <v>10043594</v>
      </c>
    </row>
    <row r="1087" spans="1:3" ht="15.75" x14ac:dyDescent="0.25">
      <c r="A1087" s="7" t="s">
        <v>1747</v>
      </c>
      <c r="B1087" s="6" t="s">
        <v>1748</v>
      </c>
      <c r="C1087" s="4">
        <v>10015076</v>
      </c>
    </row>
    <row r="1088" spans="1:3" ht="15.75" x14ac:dyDescent="0.25">
      <c r="A1088" s="7" t="s">
        <v>1776</v>
      </c>
      <c r="B1088" s="6" t="s">
        <v>1777</v>
      </c>
      <c r="C1088" s="4">
        <v>10001808</v>
      </c>
    </row>
    <row r="1089" spans="1:3" ht="15.75" x14ac:dyDescent="0.25">
      <c r="A1089" s="7" t="s">
        <v>1842</v>
      </c>
      <c r="B1089" s="6" t="s">
        <v>1777</v>
      </c>
      <c r="C1089" s="4">
        <v>10081063</v>
      </c>
    </row>
    <row r="1090" spans="1:3" ht="15.75" x14ac:dyDescent="0.25">
      <c r="A1090" s="7" t="s">
        <v>1846</v>
      </c>
      <c r="B1090" s="6" t="s">
        <v>1847</v>
      </c>
      <c r="C1090" s="4">
        <v>10028409</v>
      </c>
    </row>
    <row r="1091" spans="1:3" ht="15.75" x14ac:dyDescent="0.25">
      <c r="A1091" s="7" t="s">
        <v>1769</v>
      </c>
      <c r="B1091" s="6" t="s">
        <v>1770</v>
      </c>
      <c r="C1091" s="4">
        <v>10049509</v>
      </c>
    </row>
    <row r="1092" spans="1:3" ht="15.75" x14ac:dyDescent="0.25">
      <c r="A1092" s="7" t="s">
        <v>1774</v>
      </c>
      <c r="B1092" s="6" t="s">
        <v>1775</v>
      </c>
      <c r="C1092" s="4">
        <v>10099510</v>
      </c>
    </row>
    <row r="1093" spans="1:3" ht="15.75" x14ac:dyDescent="0.25">
      <c r="A1093" s="7" t="s">
        <v>1694</v>
      </c>
      <c r="B1093" s="6" t="s">
        <v>1695</v>
      </c>
      <c r="C1093" s="4">
        <v>10082848</v>
      </c>
    </row>
    <row r="1094" spans="1:3" ht="15.75" x14ac:dyDescent="0.25">
      <c r="A1094" s="7" t="s">
        <v>1761</v>
      </c>
      <c r="B1094" s="6" t="s">
        <v>1762</v>
      </c>
      <c r="C1094" s="4">
        <v>10027735</v>
      </c>
    </row>
    <row r="1095" spans="1:3" ht="15.75" x14ac:dyDescent="0.25">
      <c r="A1095" s="7" t="s">
        <v>1802</v>
      </c>
      <c r="B1095" s="6" t="s">
        <v>1684</v>
      </c>
      <c r="C1095" s="4">
        <v>10003735</v>
      </c>
    </row>
    <row r="1096" spans="1:3" ht="15.75" x14ac:dyDescent="0.25">
      <c r="A1096" s="7" t="s">
        <v>1754</v>
      </c>
      <c r="B1096" s="6" t="s">
        <v>1684</v>
      </c>
      <c r="C1096" s="4">
        <v>10027918</v>
      </c>
    </row>
    <row r="1097" spans="1:3" ht="15.75" x14ac:dyDescent="0.25">
      <c r="A1097" s="7" t="s">
        <v>1764</v>
      </c>
      <c r="B1097" s="6" t="s">
        <v>1684</v>
      </c>
      <c r="C1097" s="4">
        <v>10027967</v>
      </c>
    </row>
    <row r="1098" spans="1:3" ht="15.75" x14ac:dyDescent="0.25">
      <c r="A1098" s="7" t="s">
        <v>1683</v>
      </c>
      <c r="B1098" s="6" t="s">
        <v>1684</v>
      </c>
      <c r="C1098" s="4">
        <v>10028571</v>
      </c>
    </row>
    <row r="1099" spans="1:3" ht="15.75" x14ac:dyDescent="0.25">
      <c r="A1099" s="7" t="s">
        <v>1839</v>
      </c>
      <c r="B1099" s="6" t="s">
        <v>1684</v>
      </c>
      <c r="C1099" s="4">
        <v>10036496</v>
      </c>
    </row>
    <row r="1100" spans="1:3" ht="15.75" x14ac:dyDescent="0.25">
      <c r="A1100" s="7" t="s">
        <v>1803</v>
      </c>
      <c r="B1100" s="6" t="s">
        <v>1684</v>
      </c>
      <c r="C1100" s="4">
        <v>10036497</v>
      </c>
    </row>
    <row r="1101" spans="1:3" ht="15.75" x14ac:dyDescent="0.25">
      <c r="A1101" s="7" t="s">
        <v>1765</v>
      </c>
      <c r="B1101" s="6" t="s">
        <v>1684</v>
      </c>
      <c r="C1101" s="4">
        <v>10036498</v>
      </c>
    </row>
    <row r="1102" spans="1:3" ht="15.75" x14ac:dyDescent="0.25">
      <c r="A1102" s="7" t="s">
        <v>1838</v>
      </c>
      <c r="B1102" s="6" t="s">
        <v>1684</v>
      </c>
      <c r="C1102" s="4">
        <v>10093054</v>
      </c>
    </row>
    <row r="1103" spans="1:3" ht="15.75" x14ac:dyDescent="0.25">
      <c r="A1103" s="7" t="s">
        <v>1714</v>
      </c>
      <c r="B1103" s="6" t="s">
        <v>1684</v>
      </c>
      <c r="C1103" s="4">
        <v>10103889</v>
      </c>
    </row>
    <row r="1104" spans="1:3" ht="15.75" x14ac:dyDescent="0.25">
      <c r="A1104" s="7" t="s">
        <v>1820</v>
      </c>
      <c r="B1104" s="6" t="s">
        <v>1821</v>
      </c>
      <c r="C1104" s="4">
        <v>10035707</v>
      </c>
    </row>
    <row r="1105" spans="1:3" ht="15.75" x14ac:dyDescent="0.25">
      <c r="A1105" s="7" t="s">
        <v>1780</v>
      </c>
      <c r="B1105" s="6" t="s">
        <v>1781</v>
      </c>
      <c r="C1105" s="4">
        <v>10045914</v>
      </c>
    </row>
    <row r="1106" spans="1:3" ht="15.75" x14ac:dyDescent="0.25">
      <c r="A1106" s="7" t="s">
        <v>1712</v>
      </c>
      <c r="B1106" s="6" t="s">
        <v>1713</v>
      </c>
      <c r="C1106" s="4">
        <v>10095030</v>
      </c>
    </row>
    <row r="1107" spans="1:3" ht="15.75" x14ac:dyDescent="0.25">
      <c r="A1107" s="7" t="s">
        <v>1690</v>
      </c>
      <c r="B1107" s="6" t="s">
        <v>1691</v>
      </c>
      <c r="C1107" s="4">
        <v>10031636</v>
      </c>
    </row>
    <row r="1108" spans="1:3" ht="15.75" x14ac:dyDescent="0.25">
      <c r="A1108" s="7" t="s">
        <v>1830</v>
      </c>
      <c r="B1108" s="6" t="s">
        <v>1831</v>
      </c>
      <c r="C1108" s="4">
        <v>10078764</v>
      </c>
    </row>
    <row r="1109" spans="1:3" ht="15.75" x14ac:dyDescent="0.25">
      <c r="A1109" s="7" t="s">
        <v>1702</v>
      </c>
      <c r="B1109" s="6" t="s">
        <v>1703</v>
      </c>
      <c r="C1109" s="4">
        <v>10102521</v>
      </c>
    </row>
    <row r="1110" spans="1:3" ht="15.75" x14ac:dyDescent="0.25">
      <c r="A1110" s="7" t="s">
        <v>1843</v>
      </c>
      <c r="B1110" s="6" t="s">
        <v>1844</v>
      </c>
      <c r="C1110" s="4">
        <v>10018203</v>
      </c>
    </row>
    <row r="1111" spans="1:3" ht="15.75" x14ac:dyDescent="0.25">
      <c r="A1111" s="7" t="s">
        <v>14</v>
      </c>
      <c r="B1111" s="6" t="s">
        <v>1782</v>
      </c>
      <c r="C1111" s="4">
        <v>10002161</v>
      </c>
    </row>
    <row r="1112" spans="1:3" ht="15.75" x14ac:dyDescent="0.25">
      <c r="A1112" s="7" t="s">
        <v>1822</v>
      </c>
      <c r="B1112" s="6" t="s">
        <v>1823</v>
      </c>
      <c r="C1112" s="4">
        <v>10037657</v>
      </c>
    </row>
    <row r="1113" spans="1:3" ht="15.75" x14ac:dyDescent="0.25">
      <c r="A1113" s="7" t="s">
        <v>1827</v>
      </c>
      <c r="B1113" s="6" t="s">
        <v>1823</v>
      </c>
      <c r="C1113" s="4">
        <v>10136615</v>
      </c>
    </row>
    <row r="1114" spans="1:3" ht="15.75" x14ac:dyDescent="0.25">
      <c r="A1114" s="7" t="s">
        <v>1793</v>
      </c>
      <c r="B1114" s="6" t="s">
        <v>1794</v>
      </c>
      <c r="C1114" s="4">
        <v>10134405</v>
      </c>
    </row>
    <row r="1115" spans="1:3" ht="15.75" x14ac:dyDescent="0.25">
      <c r="A1115" s="7" t="s">
        <v>1804</v>
      </c>
      <c r="B1115" s="6" t="s">
        <v>1801</v>
      </c>
      <c r="C1115" s="4">
        <v>10015633</v>
      </c>
    </row>
    <row r="1116" spans="1:3" ht="15.75" x14ac:dyDescent="0.25">
      <c r="A1116" s="7" t="s">
        <v>1800</v>
      </c>
      <c r="B1116" s="6" t="s">
        <v>1801</v>
      </c>
      <c r="C1116" s="4">
        <v>10084387</v>
      </c>
    </row>
    <row r="1117" spans="1:3" ht="15.75" x14ac:dyDescent="0.25">
      <c r="A1117" s="7" t="s">
        <v>1723</v>
      </c>
      <c r="B1117" s="6" t="s">
        <v>1724</v>
      </c>
      <c r="C1117" s="4">
        <v>10082267</v>
      </c>
    </row>
    <row r="1118" spans="1:3" ht="15.75" x14ac:dyDescent="0.25">
      <c r="A1118" s="7" t="s">
        <v>1795</v>
      </c>
      <c r="B1118" s="6" t="s">
        <v>1796</v>
      </c>
      <c r="C1118" s="4">
        <v>10076150</v>
      </c>
    </row>
    <row r="1119" spans="1:3" ht="15.75" x14ac:dyDescent="0.25">
      <c r="A1119" s="7" t="s">
        <v>1704</v>
      </c>
      <c r="B1119" s="6" t="s">
        <v>1705</v>
      </c>
      <c r="C1119" s="4">
        <v>10043609</v>
      </c>
    </row>
    <row r="1120" spans="1:3" ht="15.75" x14ac:dyDescent="0.25">
      <c r="A1120" s="7" t="s">
        <v>1708</v>
      </c>
      <c r="B1120" s="6" t="s">
        <v>1709</v>
      </c>
      <c r="C1120" s="4">
        <v>10094213</v>
      </c>
    </row>
    <row r="1121" spans="1:3" ht="15.75" x14ac:dyDescent="0.25">
      <c r="A1121" s="7" t="s">
        <v>1696</v>
      </c>
      <c r="B1121" s="6" t="s">
        <v>1697</v>
      </c>
      <c r="C1121" s="4">
        <v>10088911</v>
      </c>
    </row>
    <row r="1122" spans="1:3" ht="15.75" x14ac:dyDescent="0.25">
      <c r="A1122" s="7" t="s">
        <v>1698</v>
      </c>
      <c r="B1122" s="6" t="s">
        <v>1699</v>
      </c>
      <c r="C1122" s="4">
        <v>10121749</v>
      </c>
    </row>
    <row r="1123" spans="1:3" ht="15.75" x14ac:dyDescent="0.25">
      <c r="A1123" s="7" t="s">
        <v>1797</v>
      </c>
      <c r="B1123" s="6" t="s">
        <v>1798</v>
      </c>
      <c r="C1123" s="4">
        <v>10089255</v>
      </c>
    </row>
    <row r="1124" spans="1:3" ht="15.75" x14ac:dyDescent="0.25">
      <c r="A1124" s="7" t="s">
        <v>1688</v>
      </c>
      <c r="B1124" s="6" t="s">
        <v>1689</v>
      </c>
      <c r="C1124" s="4">
        <v>10059885</v>
      </c>
    </row>
    <row r="1125" spans="1:3" ht="15.75" x14ac:dyDescent="0.25">
      <c r="A1125" s="7" t="s">
        <v>1807</v>
      </c>
      <c r="B1125" s="6" t="s">
        <v>1808</v>
      </c>
      <c r="C1125" s="4">
        <v>10022271</v>
      </c>
    </row>
    <row r="1126" spans="1:3" ht="15.75" x14ac:dyDescent="0.25">
      <c r="A1126" s="7" t="s">
        <v>279</v>
      </c>
      <c r="B1126" s="6" t="s">
        <v>280</v>
      </c>
      <c r="C1126" s="4">
        <v>10083585</v>
      </c>
    </row>
    <row r="1127" spans="1:3" ht="15.75" x14ac:dyDescent="0.25">
      <c r="A1127" s="7" t="s">
        <v>1758</v>
      </c>
      <c r="B1127" s="6" t="s">
        <v>1759</v>
      </c>
      <c r="C1127" s="4">
        <v>10136970</v>
      </c>
    </row>
    <row r="1128" spans="1:3" ht="15.75" x14ac:dyDescent="0.25">
      <c r="A1128" s="7" t="s">
        <v>1112</v>
      </c>
      <c r="B1128" s="6" t="s">
        <v>1113</v>
      </c>
      <c r="C1128" s="4">
        <v>10145969</v>
      </c>
    </row>
    <row r="1129" spans="1:3" ht="15.75" x14ac:dyDescent="0.25">
      <c r="A1129" s="7" t="s">
        <v>1655</v>
      </c>
      <c r="B1129" s="6" t="s">
        <v>1656</v>
      </c>
      <c r="C1129" s="4">
        <v>10125663</v>
      </c>
    </row>
    <row r="1130" spans="1:3" ht="15.75" x14ac:dyDescent="0.25">
      <c r="A1130" s="7" t="s">
        <v>1657</v>
      </c>
      <c r="B1130" s="6" t="s">
        <v>1658</v>
      </c>
      <c r="C1130" s="4">
        <v>10052335</v>
      </c>
    </row>
    <row r="1131" spans="1:3" ht="15.75" x14ac:dyDescent="0.25">
      <c r="A1131" s="7" t="s">
        <v>27</v>
      </c>
      <c r="B1131" s="6" t="s">
        <v>28</v>
      </c>
      <c r="C1131" s="4">
        <v>10052179</v>
      </c>
    </row>
    <row r="1132" spans="1:3" ht="15.75" x14ac:dyDescent="0.25">
      <c r="A1132" s="7" t="s">
        <v>32</v>
      </c>
      <c r="B1132" s="6" t="s">
        <v>33</v>
      </c>
      <c r="C1132" s="4">
        <v>10052194</v>
      </c>
    </row>
    <row r="1133" spans="1:3" ht="15.75" x14ac:dyDescent="0.25">
      <c r="A1133" s="7" t="s">
        <v>875</v>
      </c>
      <c r="B1133" s="6" t="s">
        <v>876</v>
      </c>
      <c r="C1133" s="4">
        <v>10094519</v>
      </c>
    </row>
    <row r="1134" spans="1:3" ht="15.75" x14ac:dyDescent="0.25">
      <c r="A1134" s="7" t="s">
        <v>1659</v>
      </c>
      <c r="B1134" s="6" t="s">
        <v>1660</v>
      </c>
      <c r="C1134" s="4">
        <v>10108184</v>
      </c>
    </row>
    <row r="1135" spans="1:3" ht="15.75" x14ac:dyDescent="0.25">
      <c r="A1135" s="7" t="s">
        <v>2247</v>
      </c>
      <c r="B1135" s="6" t="s">
        <v>2248</v>
      </c>
      <c r="C1135" s="4">
        <v>10131642</v>
      </c>
    </row>
    <row r="1136" spans="1:3" ht="15.75" x14ac:dyDescent="0.25">
      <c r="A1136" s="7" t="s">
        <v>1661</v>
      </c>
      <c r="B1136" s="6" t="s">
        <v>1662</v>
      </c>
      <c r="C1136" s="4">
        <v>10016885</v>
      </c>
    </row>
    <row r="1137" spans="1:3" ht="15.75" x14ac:dyDescent="0.25">
      <c r="A1137" s="7" t="s">
        <v>246</v>
      </c>
      <c r="B1137" s="6" t="s">
        <v>247</v>
      </c>
      <c r="C1137" s="4">
        <v>10125591</v>
      </c>
    </row>
    <row r="1138" spans="1:3" ht="15.75" x14ac:dyDescent="0.25">
      <c r="A1138" s="7" t="s">
        <v>1663</v>
      </c>
      <c r="B1138" s="6" t="s">
        <v>1664</v>
      </c>
      <c r="C1138" s="4">
        <v>10014363</v>
      </c>
    </row>
    <row r="1139" spans="1:3" ht="15.75" x14ac:dyDescent="0.25">
      <c r="A1139" s="7" t="s">
        <v>645</v>
      </c>
      <c r="B1139" s="6" t="s">
        <v>646</v>
      </c>
      <c r="C1139" s="4">
        <v>10097713</v>
      </c>
    </row>
    <row r="1140" spans="1:3" ht="15.75" x14ac:dyDescent="0.25">
      <c r="A1140" s="7" t="s">
        <v>2249</v>
      </c>
      <c r="B1140" s="6" t="s">
        <v>2250</v>
      </c>
      <c r="C1140" s="4">
        <v>10083745</v>
      </c>
    </row>
    <row r="1141" spans="1:3" ht="15.75" x14ac:dyDescent="0.25">
      <c r="A1141" s="7" t="s">
        <v>480</v>
      </c>
      <c r="B1141" s="6" t="s">
        <v>481</v>
      </c>
      <c r="C1141" s="4">
        <v>10103083</v>
      </c>
    </row>
    <row r="1142" spans="1:3" ht="15.75" x14ac:dyDescent="0.25">
      <c r="A1142" s="7" t="s">
        <v>482</v>
      </c>
      <c r="B1142" s="6" t="s">
        <v>483</v>
      </c>
      <c r="C1142" s="4">
        <v>10147115</v>
      </c>
    </row>
    <row r="1143" spans="1:3" ht="15.75" x14ac:dyDescent="0.25">
      <c r="A1143" s="7" t="s">
        <v>484</v>
      </c>
      <c r="B1143" s="6" t="s">
        <v>485</v>
      </c>
      <c r="C1143" s="4">
        <v>10103159</v>
      </c>
    </row>
    <row r="1144" spans="1:3" ht="15.75" x14ac:dyDescent="0.25">
      <c r="A1144" s="7" t="s">
        <v>1665</v>
      </c>
      <c r="B1144" s="6" t="s">
        <v>1666</v>
      </c>
      <c r="C1144" s="4">
        <v>10028069</v>
      </c>
    </row>
    <row r="1145" spans="1:3" ht="15.75" x14ac:dyDescent="0.25">
      <c r="A1145" s="7" t="s">
        <v>2257</v>
      </c>
      <c r="B1145" s="6" t="s">
        <v>2258</v>
      </c>
      <c r="C1145" s="4">
        <v>10018029</v>
      </c>
    </row>
    <row r="1146" spans="1:3" ht="15.75" x14ac:dyDescent="0.25">
      <c r="A1146" s="7" t="s">
        <v>1097</v>
      </c>
      <c r="B1146" s="6" t="s">
        <v>1098</v>
      </c>
      <c r="C1146" s="4">
        <v>10093231</v>
      </c>
    </row>
    <row r="1147" spans="1:3" ht="15.75" x14ac:dyDescent="0.25">
      <c r="A1147" s="7" t="s">
        <v>319</v>
      </c>
      <c r="B1147" s="6" t="s">
        <v>320</v>
      </c>
      <c r="C1147" s="4">
        <v>10093666</v>
      </c>
    </row>
    <row r="1148" spans="1:3" ht="15.75" x14ac:dyDescent="0.25">
      <c r="A1148" s="7" t="s">
        <v>2251</v>
      </c>
      <c r="B1148" s="6" t="s">
        <v>2252</v>
      </c>
      <c r="C1148" s="4">
        <v>10106113</v>
      </c>
    </row>
    <row r="1149" spans="1:3" ht="15.75" x14ac:dyDescent="0.25">
      <c r="A1149" s="7" t="s">
        <v>1667</v>
      </c>
      <c r="B1149" s="6" t="s">
        <v>1668</v>
      </c>
      <c r="C1149" s="4">
        <v>10037680</v>
      </c>
    </row>
    <row r="1150" spans="1:3" ht="15.75" x14ac:dyDescent="0.25">
      <c r="A1150" s="7" t="s">
        <v>2253</v>
      </c>
      <c r="B1150" s="6" t="s">
        <v>2254</v>
      </c>
      <c r="C1150" s="4">
        <v>10087778</v>
      </c>
    </row>
    <row r="1151" spans="1:3" ht="15.75" x14ac:dyDescent="0.25">
      <c r="A1151" s="7" t="s">
        <v>1669</v>
      </c>
      <c r="B1151" s="6" t="s">
        <v>1670</v>
      </c>
      <c r="C1151" s="4">
        <v>10015659</v>
      </c>
    </row>
    <row r="1152" spans="1:3" ht="15.75" x14ac:dyDescent="0.25">
      <c r="A1152" s="7" t="s">
        <v>603</v>
      </c>
      <c r="B1152" s="6" t="s">
        <v>604</v>
      </c>
      <c r="C1152" s="4">
        <v>10101100</v>
      </c>
    </row>
    <row r="1153" spans="1:3" ht="15.75" x14ac:dyDescent="0.25">
      <c r="A1153" s="7" t="s">
        <v>792</v>
      </c>
      <c r="B1153" s="6" t="s">
        <v>793</v>
      </c>
      <c r="C1153" s="4">
        <v>10147801</v>
      </c>
    </row>
    <row r="1154" spans="1:3" ht="15.75" x14ac:dyDescent="0.25">
      <c r="A1154" s="7" t="s">
        <v>106</v>
      </c>
      <c r="B1154" s="6" t="s">
        <v>107</v>
      </c>
      <c r="C1154" s="4">
        <v>10064099</v>
      </c>
    </row>
    <row r="1155" spans="1:3" ht="15.75" x14ac:dyDescent="0.25">
      <c r="A1155" s="7" t="s">
        <v>25</v>
      </c>
      <c r="B1155" s="6" t="s">
        <v>26</v>
      </c>
      <c r="C1155" s="4">
        <v>10052172</v>
      </c>
    </row>
    <row r="1156" spans="1:3" ht="15.75" x14ac:dyDescent="0.25">
      <c r="A1156" s="7" t="s">
        <v>89</v>
      </c>
      <c r="B1156" s="6" t="s">
        <v>90</v>
      </c>
      <c r="C1156" s="4">
        <v>10057872</v>
      </c>
    </row>
    <row r="1157" spans="1:3" ht="15.75" x14ac:dyDescent="0.25">
      <c r="A1157" s="7" t="s">
        <v>108</v>
      </c>
      <c r="B1157" s="6" t="s">
        <v>109</v>
      </c>
      <c r="C1157" s="4">
        <v>10064100</v>
      </c>
    </row>
    <row r="1158" spans="1:3" ht="15.75" x14ac:dyDescent="0.25">
      <c r="A1158" s="7" t="s">
        <v>61</v>
      </c>
      <c r="B1158" s="6" t="s">
        <v>62</v>
      </c>
      <c r="C1158" s="4">
        <v>10028370</v>
      </c>
    </row>
    <row r="1159" spans="1:3" ht="15.75" x14ac:dyDescent="0.25">
      <c r="A1159" s="7" t="s">
        <v>1463</v>
      </c>
      <c r="B1159" s="6" t="s">
        <v>1853</v>
      </c>
      <c r="C1159" s="4">
        <v>10000093</v>
      </c>
    </row>
    <row r="1160" spans="1:3" ht="15.75" x14ac:dyDescent="0.25">
      <c r="A1160" s="7" t="s">
        <v>110</v>
      </c>
      <c r="B1160" s="6" t="s">
        <v>111</v>
      </c>
      <c r="C1160" s="4">
        <v>10005511</v>
      </c>
    </row>
    <row r="1161" spans="1:3" ht="15.75" x14ac:dyDescent="0.25">
      <c r="A1161" s="7" t="s">
        <v>6</v>
      </c>
      <c r="B1161" s="6" t="s">
        <v>103</v>
      </c>
      <c r="C1161" s="4">
        <v>10013504</v>
      </c>
    </row>
    <row r="1162" spans="1:3" ht="15.75" x14ac:dyDescent="0.25">
      <c r="A1162" s="7" t="s">
        <v>34</v>
      </c>
      <c r="B1162" s="6" t="s">
        <v>35</v>
      </c>
      <c r="C1162" s="4">
        <v>10030370</v>
      </c>
    </row>
    <row r="1163" spans="1:3" ht="15.75" x14ac:dyDescent="0.25">
      <c r="A1163" s="7" t="s">
        <v>36</v>
      </c>
      <c r="B1163" s="6" t="s">
        <v>35</v>
      </c>
      <c r="C1163" s="4">
        <v>10088968</v>
      </c>
    </row>
    <row r="1164" spans="1:3" ht="15.75" x14ac:dyDescent="0.25">
      <c r="A1164" s="7" t="s">
        <v>85</v>
      </c>
      <c r="B1164" s="6" t="s">
        <v>86</v>
      </c>
      <c r="C1164" s="4">
        <v>10011291</v>
      </c>
    </row>
    <row r="1165" spans="1:3" ht="15.75" x14ac:dyDescent="0.25">
      <c r="A1165" s="7" t="s">
        <v>88</v>
      </c>
      <c r="B1165" s="6" t="s">
        <v>2407</v>
      </c>
      <c r="C1165" s="4">
        <v>10020117</v>
      </c>
    </row>
    <row r="1166" spans="1:3" ht="15.75" x14ac:dyDescent="0.25">
      <c r="A1166" s="7" t="s">
        <v>71</v>
      </c>
      <c r="B1166" s="6" t="s">
        <v>72</v>
      </c>
      <c r="C1166" s="4">
        <v>10066398</v>
      </c>
    </row>
    <row r="1167" spans="1:3" ht="15.75" x14ac:dyDescent="0.25">
      <c r="A1167" s="7" t="s">
        <v>16</v>
      </c>
      <c r="B1167" s="6" t="s">
        <v>72</v>
      </c>
      <c r="C1167" s="4">
        <v>10080804</v>
      </c>
    </row>
    <row r="1168" spans="1:3" ht="15.75" x14ac:dyDescent="0.25">
      <c r="A1168" s="7" t="s">
        <v>41</v>
      </c>
      <c r="B1168" s="6" t="s">
        <v>42</v>
      </c>
      <c r="C1168" s="4">
        <v>10080802</v>
      </c>
    </row>
    <row r="1169" spans="1:3" ht="15.75" x14ac:dyDescent="0.25">
      <c r="A1169" s="7" t="s">
        <v>87</v>
      </c>
      <c r="B1169" s="6" t="s">
        <v>2408</v>
      </c>
      <c r="C1169" s="4">
        <v>10035724</v>
      </c>
    </row>
    <row r="1170" spans="1:3" ht="15.75" x14ac:dyDescent="0.25">
      <c r="A1170" s="7" t="s">
        <v>44</v>
      </c>
      <c r="B1170" s="6" t="s">
        <v>2409</v>
      </c>
      <c r="C1170" s="4">
        <v>10027311</v>
      </c>
    </row>
    <row r="1171" spans="1:3" ht="15.75" x14ac:dyDescent="0.25">
      <c r="A1171" s="7" t="s">
        <v>57</v>
      </c>
      <c r="B1171" s="6" t="s">
        <v>58</v>
      </c>
      <c r="C1171" s="4">
        <v>10033878</v>
      </c>
    </row>
    <row r="1172" spans="1:3" ht="15.75" x14ac:dyDescent="0.25">
      <c r="A1172" s="7" t="s">
        <v>19</v>
      </c>
      <c r="B1172" s="6" t="s">
        <v>2410</v>
      </c>
      <c r="C1172" s="4">
        <v>10017587</v>
      </c>
    </row>
    <row r="1173" spans="1:3" ht="15.75" x14ac:dyDescent="0.25">
      <c r="A1173" s="7" t="s">
        <v>92</v>
      </c>
      <c r="B1173" s="6" t="s">
        <v>93</v>
      </c>
      <c r="C1173" s="4">
        <v>10083680</v>
      </c>
    </row>
    <row r="1174" spans="1:3" ht="15.75" x14ac:dyDescent="0.25">
      <c r="A1174" s="7" t="s">
        <v>69</v>
      </c>
      <c r="B1174" s="6" t="s">
        <v>70</v>
      </c>
      <c r="C1174" s="4">
        <v>10049455</v>
      </c>
    </row>
    <row r="1175" spans="1:3" ht="15.75" x14ac:dyDescent="0.25">
      <c r="A1175" s="7" t="s">
        <v>96</v>
      </c>
      <c r="B1175" s="6" t="s">
        <v>97</v>
      </c>
      <c r="C1175" s="4">
        <v>10080801</v>
      </c>
    </row>
    <row r="1176" spans="1:3" ht="15.75" x14ac:dyDescent="0.25">
      <c r="A1176" s="7" t="s">
        <v>94</v>
      </c>
      <c r="B1176" s="6" t="s">
        <v>95</v>
      </c>
      <c r="C1176" s="4">
        <v>10080950</v>
      </c>
    </row>
    <row r="1177" spans="1:3" ht="15.75" x14ac:dyDescent="0.25">
      <c r="A1177" s="7" t="s">
        <v>65</v>
      </c>
      <c r="B1177" s="6" t="s">
        <v>66</v>
      </c>
      <c r="C1177" s="4">
        <v>10099175</v>
      </c>
    </row>
    <row r="1178" spans="1:3" ht="15.75" x14ac:dyDescent="0.25">
      <c r="A1178" s="7" t="s">
        <v>9</v>
      </c>
      <c r="B1178" s="6" t="s">
        <v>2411</v>
      </c>
      <c r="C1178" s="4">
        <v>10023439</v>
      </c>
    </row>
    <row r="1179" spans="1:3" ht="15.75" x14ac:dyDescent="0.25">
      <c r="A1179" s="7" t="s">
        <v>13</v>
      </c>
      <c r="B1179" s="6" t="s">
        <v>2412</v>
      </c>
      <c r="C1179" s="4">
        <v>10017427</v>
      </c>
    </row>
    <row r="1180" spans="1:3" ht="15.75" x14ac:dyDescent="0.25">
      <c r="A1180" s="7" t="s">
        <v>63</v>
      </c>
      <c r="B1180" s="6" t="s">
        <v>64</v>
      </c>
      <c r="C1180" s="4">
        <v>10089180</v>
      </c>
    </row>
    <row r="1181" spans="1:3" ht="15.75" x14ac:dyDescent="0.25">
      <c r="A1181" s="7" t="s">
        <v>67</v>
      </c>
      <c r="B1181" s="6" t="s">
        <v>64</v>
      </c>
      <c r="C1181" s="4">
        <v>10089280</v>
      </c>
    </row>
    <row r="1182" spans="1:3" ht="15.75" x14ac:dyDescent="0.25">
      <c r="A1182" s="7" t="s">
        <v>68</v>
      </c>
      <c r="B1182" s="6" t="s">
        <v>64</v>
      </c>
      <c r="C1182" s="4">
        <v>10089704</v>
      </c>
    </row>
    <row r="1183" spans="1:3" ht="15.75" x14ac:dyDescent="0.25">
      <c r="A1183" s="7" t="s">
        <v>75</v>
      </c>
      <c r="B1183" s="6" t="s">
        <v>76</v>
      </c>
      <c r="C1183" s="4">
        <v>10014577</v>
      </c>
    </row>
    <row r="1184" spans="1:3" ht="15.75" x14ac:dyDescent="0.25">
      <c r="A1184" s="7" t="s">
        <v>104</v>
      </c>
      <c r="B1184" s="6" t="s">
        <v>105</v>
      </c>
      <c r="C1184" s="4">
        <v>10005301</v>
      </c>
    </row>
    <row r="1185" spans="1:3" ht="15.75" x14ac:dyDescent="0.25">
      <c r="A1185" s="7" t="s">
        <v>77</v>
      </c>
      <c r="B1185" s="6" t="s">
        <v>78</v>
      </c>
      <c r="C1185" s="4">
        <v>10011012</v>
      </c>
    </row>
    <row r="1186" spans="1:3" ht="15.75" x14ac:dyDescent="0.25">
      <c r="A1186" s="7" t="s">
        <v>73</v>
      </c>
      <c r="B1186" s="6" t="s">
        <v>74</v>
      </c>
      <c r="C1186" s="4">
        <v>10010849</v>
      </c>
    </row>
    <row r="1187" spans="1:3" ht="15.75" x14ac:dyDescent="0.25">
      <c r="A1187" s="7" t="s">
        <v>10</v>
      </c>
      <c r="B1187" s="6" t="s">
        <v>2413</v>
      </c>
      <c r="C1187" s="4">
        <v>10101838</v>
      </c>
    </row>
    <row r="1188" spans="1:3" ht="15.75" x14ac:dyDescent="0.25">
      <c r="A1188" s="7" t="s">
        <v>43</v>
      </c>
      <c r="B1188" s="6" t="s">
        <v>2414</v>
      </c>
      <c r="C1188" s="4">
        <v>10018992</v>
      </c>
    </row>
    <row r="1189" spans="1:3" ht="15.75" x14ac:dyDescent="0.25">
      <c r="A1189" s="7" t="s">
        <v>40</v>
      </c>
      <c r="B1189" s="6" t="s">
        <v>2415</v>
      </c>
      <c r="C1189" s="4">
        <v>10048931</v>
      </c>
    </row>
    <row r="1190" spans="1:3" ht="15.75" x14ac:dyDescent="0.25">
      <c r="A1190" s="7" t="s">
        <v>46</v>
      </c>
      <c r="B1190" s="6" t="s">
        <v>2416</v>
      </c>
      <c r="C1190" s="4">
        <v>10119523</v>
      </c>
    </row>
    <row r="1191" spans="1:3" ht="15.75" x14ac:dyDescent="0.25">
      <c r="A1191" s="7" t="s">
        <v>2417</v>
      </c>
      <c r="B1191" s="6" t="s">
        <v>2418</v>
      </c>
      <c r="C1191" s="4">
        <v>10085879</v>
      </c>
    </row>
    <row r="1192" spans="1:3" ht="15.75" x14ac:dyDescent="0.25">
      <c r="A1192" s="7" t="s">
        <v>2419</v>
      </c>
      <c r="B1192" s="6" t="s">
        <v>2420</v>
      </c>
      <c r="C1192" s="4">
        <v>10019132</v>
      </c>
    </row>
    <row r="1193" spans="1:3" ht="15.75" x14ac:dyDescent="0.25">
      <c r="A1193" s="7" t="s">
        <v>2421</v>
      </c>
      <c r="B1193" s="6" t="s">
        <v>2422</v>
      </c>
      <c r="C1193" s="4">
        <v>10026504</v>
      </c>
    </row>
    <row r="1194" spans="1:3" ht="15.75" x14ac:dyDescent="0.25">
      <c r="A1194" s="7" t="s">
        <v>91</v>
      </c>
      <c r="B1194" s="6" t="s">
        <v>2423</v>
      </c>
      <c r="C1194" s="4">
        <v>10126248</v>
      </c>
    </row>
    <row r="1195" spans="1:3" ht="15.75" x14ac:dyDescent="0.25">
      <c r="A1195" s="7" t="s">
        <v>47</v>
      </c>
      <c r="B1195" s="6" t="s">
        <v>2424</v>
      </c>
      <c r="C1195" s="4">
        <v>10083542</v>
      </c>
    </row>
    <row r="1196" spans="1:3" ht="15.75" x14ac:dyDescent="0.25">
      <c r="A1196" s="7" t="s">
        <v>45</v>
      </c>
      <c r="B1196" s="6" t="s">
        <v>2425</v>
      </c>
      <c r="C1196" s="4">
        <v>10082895</v>
      </c>
    </row>
    <row r="1197" spans="1:3" ht="15.75" x14ac:dyDescent="0.25">
      <c r="A1197" s="7" t="s">
        <v>98</v>
      </c>
      <c r="B1197" s="6" t="s">
        <v>2426</v>
      </c>
      <c r="C1197" s="4">
        <v>10080322</v>
      </c>
    </row>
    <row r="1198" spans="1:3" ht="15.75" x14ac:dyDescent="0.25">
      <c r="A1198" s="7" t="s">
        <v>38</v>
      </c>
      <c r="B1198" s="6" t="s">
        <v>2427</v>
      </c>
      <c r="C1198" s="4">
        <v>10107547</v>
      </c>
    </row>
    <row r="1199" spans="1:3" ht="15.75" x14ac:dyDescent="0.25">
      <c r="A1199" s="7" t="s">
        <v>50</v>
      </c>
      <c r="B1199" s="6" t="s">
        <v>2428</v>
      </c>
      <c r="C1199" s="4">
        <v>10095947</v>
      </c>
    </row>
    <row r="1200" spans="1:3" ht="15.75" x14ac:dyDescent="0.25">
      <c r="A1200" s="7" t="s">
        <v>56</v>
      </c>
      <c r="B1200" s="6" t="s">
        <v>2429</v>
      </c>
      <c r="C1200" s="4">
        <v>10133504</v>
      </c>
    </row>
    <row r="1201" spans="1:3" ht="15.75" x14ac:dyDescent="0.25">
      <c r="A1201" s="7" t="s">
        <v>100</v>
      </c>
      <c r="B1201" s="6" t="s">
        <v>2430</v>
      </c>
      <c r="C1201" s="4">
        <v>10015429</v>
      </c>
    </row>
    <row r="1202" spans="1:3" ht="15.75" x14ac:dyDescent="0.25">
      <c r="A1202" s="7" t="s">
        <v>99</v>
      </c>
      <c r="B1202" s="6" t="s">
        <v>2431</v>
      </c>
      <c r="C1202" s="4">
        <v>10015428</v>
      </c>
    </row>
    <row r="1203" spans="1:3" ht="15.75" x14ac:dyDescent="0.25">
      <c r="A1203" s="7" t="s">
        <v>37</v>
      </c>
      <c r="B1203" s="6" t="s">
        <v>2432</v>
      </c>
      <c r="C1203" s="4">
        <v>10021303</v>
      </c>
    </row>
    <row r="1204" spans="1:3" ht="15.75" x14ac:dyDescent="0.25">
      <c r="A1204" s="7" t="s">
        <v>52</v>
      </c>
      <c r="B1204" s="6" t="s">
        <v>2433</v>
      </c>
      <c r="C1204" s="4">
        <v>10019531</v>
      </c>
    </row>
    <row r="1205" spans="1:3" ht="15.75" x14ac:dyDescent="0.25">
      <c r="A1205" s="7" t="s">
        <v>51</v>
      </c>
      <c r="B1205" s="6" t="s">
        <v>2434</v>
      </c>
      <c r="C1205" s="4">
        <v>10017351</v>
      </c>
    </row>
    <row r="1206" spans="1:3" ht="15.75" x14ac:dyDescent="0.25">
      <c r="A1206" s="7" t="s">
        <v>53</v>
      </c>
      <c r="B1206" s="6" t="s">
        <v>2435</v>
      </c>
      <c r="C1206" s="4">
        <v>10085932</v>
      </c>
    </row>
    <row r="1207" spans="1:3" ht="15.75" x14ac:dyDescent="0.25">
      <c r="A1207" s="7" t="s">
        <v>39</v>
      </c>
      <c r="B1207" s="6" t="s">
        <v>2436</v>
      </c>
      <c r="C1207" s="4">
        <v>10018110</v>
      </c>
    </row>
    <row r="1208" spans="1:3" ht="15.75" x14ac:dyDescent="0.25">
      <c r="A1208" s="7" t="s">
        <v>8</v>
      </c>
      <c r="B1208" s="6" t="s">
        <v>2437</v>
      </c>
      <c r="C1208" s="4">
        <v>10019411</v>
      </c>
    </row>
    <row r="1209" spans="1:3" ht="15.75" x14ac:dyDescent="0.25">
      <c r="A1209" s="7" t="s">
        <v>54</v>
      </c>
      <c r="B1209" s="6" t="s">
        <v>55</v>
      </c>
      <c r="C1209" s="4">
        <v>10014335</v>
      </c>
    </row>
    <row r="1210" spans="1:3" ht="15.75" x14ac:dyDescent="0.25">
      <c r="A1210" s="7" t="s">
        <v>48</v>
      </c>
      <c r="B1210" s="6" t="s">
        <v>49</v>
      </c>
      <c r="C1210" s="4">
        <v>10066921</v>
      </c>
    </row>
    <row r="1211" spans="1:3" ht="15.75" x14ac:dyDescent="0.25">
      <c r="A1211" s="7" t="s">
        <v>112</v>
      </c>
      <c r="B1211" s="6" t="s">
        <v>113</v>
      </c>
      <c r="C1211" s="4">
        <v>10100784</v>
      </c>
    </row>
    <row r="1212" spans="1:3" ht="15.75" x14ac:dyDescent="0.25">
      <c r="A1212" s="7" t="s">
        <v>59</v>
      </c>
      <c r="B1212" s="6" t="s">
        <v>60</v>
      </c>
      <c r="C1212" s="4">
        <v>10037797</v>
      </c>
    </row>
    <row r="1213" spans="1:3" ht="15.75" x14ac:dyDescent="0.25">
      <c r="A1213" s="7" t="s">
        <v>31</v>
      </c>
      <c r="B1213" s="6" t="s">
        <v>30</v>
      </c>
      <c r="C1213" s="4">
        <v>10079525</v>
      </c>
    </row>
    <row r="1214" spans="1:3" ht="15.75" x14ac:dyDescent="0.25">
      <c r="A1214" s="7" t="s">
        <v>29</v>
      </c>
      <c r="B1214" s="6" t="s">
        <v>30</v>
      </c>
      <c r="C1214" s="4">
        <v>10087675</v>
      </c>
    </row>
    <row r="1215" spans="1:3" ht="15.75" x14ac:dyDescent="0.25">
      <c r="A1215" s="7" t="s">
        <v>1044</v>
      </c>
      <c r="B1215" s="6" t="s">
        <v>1045</v>
      </c>
      <c r="C1215" s="4">
        <v>10093887</v>
      </c>
    </row>
    <row r="1216" spans="1:3" ht="15.75" x14ac:dyDescent="0.25">
      <c r="A1216" s="7" t="s">
        <v>1046</v>
      </c>
      <c r="B1216" s="6" t="s">
        <v>1047</v>
      </c>
      <c r="C1216" s="4">
        <v>10129021</v>
      </c>
    </row>
    <row r="1217" spans="1:3" ht="15.75" x14ac:dyDescent="0.25">
      <c r="A1217" s="7" t="s">
        <v>173</v>
      </c>
      <c r="B1217" s="6" t="s">
        <v>174</v>
      </c>
      <c r="C1217" s="4">
        <v>10034180</v>
      </c>
    </row>
    <row r="1218" spans="1:3" ht="15.75" x14ac:dyDescent="0.25">
      <c r="A1218" s="7" t="s">
        <v>1671</v>
      </c>
      <c r="B1218" s="6" t="s">
        <v>1672</v>
      </c>
      <c r="C1218" s="4">
        <v>10157853</v>
      </c>
    </row>
    <row r="1219" spans="1:3" ht="15.75" x14ac:dyDescent="0.25">
      <c r="A1219" s="7" t="s">
        <v>1673</v>
      </c>
      <c r="B1219" s="6" t="s">
        <v>1674</v>
      </c>
      <c r="C1219" s="4">
        <v>10083456</v>
      </c>
    </row>
    <row r="1220" spans="1:3" ht="15.75" x14ac:dyDescent="0.25">
      <c r="A1220" s="7" t="s">
        <v>1675</v>
      </c>
      <c r="B1220" s="6" t="s">
        <v>1676</v>
      </c>
      <c r="C1220" s="4">
        <v>10015344</v>
      </c>
    </row>
    <row r="1221" spans="1:3" ht="15.75" x14ac:dyDescent="0.25">
      <c r="A1221" s="7" t="s">
        <v>2255</v>
      </c>
      <c r="B1221" s="6" t="s">
        <v>2256</v>
      </c>
      <c r="C1221" s="4">
        <v>10037985</v>
      </c>
    </row>
    <row r="1222" spans="1:3" ht="15.75" x14ac:dyDescent="0.25">
      <c r="A1222" s="7" t="s">
        <v>351</v>
      </c>
      <c r="B1222" s="6" t="s">
        <v>352</v>
      </c>
      <c r="C1222" s="4">
        <v>10093616</v>
      </c>
    </row>
    <row r="1223" spans="1:3" ht="15.75" x14ac:dyDescent="0.25">
      <c r="A1223" s="7" t="s">
        <v>820</v>
      </c>
      <c r="B1223" s="6" t="s">
        <v>821</v>
      </c>
      <c r="C1223" s="4">
        <v>10144783</v>
      </c>
    </row>
    <row r="1224" spans="1:3" ht="15.75" x14ac:dyDescent="0.25">
      <c r="A1224" s="7" t="s">
        <v>522</v>
      </c>
      <c r="B1224" s="6" t="s">
        <v>523</v>
      </c>
      <c r="C1224" s="4">
        <v>10093648</v>
      </c>
    </row>
    <row r="1225" spans="1:3" ht="15.75" x14ac:dyDescent="0.25">
      <c r="A1225" s="7" t="s">
        <v>816</v>
      </c>
      <c r="B1225" s="6" t="s">
        <v>817</v>
      </c>
      <c r="C1225" s="4">
        <v>10119042</v>
      </c>
    </row>
    <row r="1226" spans="1:3" ht="15.75" x14ac:dyDescent="0.25">
      <c r="A1226" s="7" t="s">
        <v>739</v>
      </c>
      <c r="B1226" s="6" t="s">
        <v>740</v>
      </c>
      <c r="C1226" s="4">
        <v>10043626</v>
      </c>
    </row>
    <row r="1227" spans="1:3" ht="15.75" x14ac:dyDescent="0.25">
      <c r="A1227" s="7" t="s">
        <v>1032</v>
      </c>
      <c r="B1227" s="6" t="s">
        <v>1033</v>
      </c>
      <c r="C1227" s="4">
        <v>10092267</v>
      </c>
    </row>
    <row r="1228" spans="1:3" ht="15.75" x14ac:dyDescent="0.25">
      <c r="A1228" s="7" t="s">
        <v>273</v>
      </c>
      <c r="B1228" s="6" t="s">
        <v>274</v>
      </c>
      <c r="C1228" s="4">
        <v>10082468</v>
      </c>
    </row>
    <row r="1229" spans="1:3" ht="15.75" x14ac:dyDescent="0.25">
      <c r="A1229" s="7" t="s">
        <v>365</v>
      </c>
      <c r="B1229" s="6" t="s">
        <v>274</v>
      </c>
      <c r="C1229" s="4">
        <v>10088121</v>
      </c>
    </row>
    <row r="1230" spans="1:3" ht="15.75" x14ac:dyDescent="0.25">
      <c r="A1230" s="7" t="s">
        <v>2035</v>
      </c>
      <c r="B1230" s="6" t="s">
        <v>2036</v>
      </c>
      <c r="C1230" s="4">
        <v>10088122</v>
      </c>
    </row>
    <row r="1231" spans="1:3" ht="15.75" x14ac:dyDescent="0.25">
      <c r="A1231" s="7" t="s">
        <v>2037</v>
      </c>
      <c r="B1231" s="6" t="s">
        <v>2038</v>
      </c>
      <c r="C1231" s="4">
        <v>10099046</v>
      </c>
    </row>
    <row r="1232" spans="1:3" ht="15.75" x14ac:dyDescent="0.25">
      <c r="A1232" s="7" t="s">
        <v>1137</v>
      </c>
      <c r="B1232" s="6" t="s">
        <v>1138</v>
      </c>
      <c r="C1232" s="4">
        <v>10020389</v>
      </c>
    </row>
    <row r="1233" spans="1:3" ht="15.75" x14ac:dyDescent="0.25">
      <c r="A1233" s="7" t="s">
        <v>2039</v>
      </c>
      <c r="B1233" s="6" t="s">
        <v>2040</v>
      </c>
      <c r="C1233" s="4">
        <v>10087224</v>
      </c>
    </row>
    <row r="1234" spans="1:3" ht="15.75" x14ac:dyDescent="0.25">
      <c r="A1234" s="7" t="s">
        <v>699</v>
      </c>
      <c r="B1234" s="6" t="s">
        <v>700</v>
      </c>
      <c r="C1234" s="4">
        <v>10100583</v>
      </c>
    </row>
    <row r="1235" spans="1:3" ht="15.75" x14ac:dyDescent="0.25">
      <c r="A1235" s="7" t="s">
        <v>2041</v>
      </c>
      <c r="B1235" s="6" t="s">
        <v>2042</v>
      </c>
      <c r="C1235" s="4">
        <v>10153941</v>
      </c>
    </row>
    <row r="1236" spans="1:3" ht="15.75" x14ac:dyDescent="0.25">
      <c r="A1236" s="7" t="s">
        <v>867</v>
      </c>
      <c r="B1236" s="6" t="s">
        <v>868</v>
      </c>
      <c r="C1236" s="4">
        <v>10089237</v>
      </c>
    </row>
    <row r="1237" spans="1:3" ht="15.75" x14ac:dyDescent="0.25">
      <c r="A1237" s="7" t="s">
        <v>327</v>
      </c>
      <c r="B1237" s="6" t="s">
        <v>328</v>
      </c>
      <c r="C1237" s="4">
        <v>10138622</v>
      </c>
    </row>
    <row r="1238" spans="1:3" ht="15.75" x14ac:dyDescent="0.25">
      <c r="A1238" s="7" t="s">
        <v>986</v>
      </c>
      <c r="B1238" s="6" t="s">
        <v>987</v>
      </c>
      <c r="C1238" s="4">
        <v>10145076</v>
      </c>
    </row>
    <row r="1239" spans="1:3" ht="15.75" x14ac:dyDescent="0.25">
      <c r="A1239" s="7" t="s">
        <v>2043</v>
      </c>
      <c r="B1239" s="6" t="s">
        <v>2044</v>
      </c>
      <c r="C1239" s="4">
        <v>10098289</v>
      </c>
    </row>
    <row r="1240" spans="1:3" ht="15.75" x14ac:dyDescent="0.25">
      <c r="A1240" s="7" t="s">
        <v>2045</v>
      </c>
      <c r="B1240" s="6" t="s">
        <v>2046</v>
      </c>
      <c r="C1240" s="4">
        <v>10102067</v>
      </c>
    </row>
    <row r="1241" spans="1:3" ht="15.75" x14ac:dyDescent="0.25">
      <c r="A1241" s="7" t="s">
        <v>585</v>
      </c>
      <c r="B1241" s="6" t="s">
        <v>586</v>
      </c>
      <c r="C1241" s="4">
        <v>10123354</v>
      </c>
    </row>
    <row r="1242" spans="1:3" ht="15.75" x14ac:dyDescent="0.25">
      <c r="A1242" s="7" t="s">
        <v>952</v>
      </c>
      <c r="B1242" s="6" t="s">
        <v>953</v>
      </c>
      <c r="C1242" s="4">
        <v>10103546</v>
      </c>
    </row>
    <row r="1243" spans="1:3" ht="15.75" x14ac:dyDescent="0.25">
      <c r="A1243" s="7" t="s">
        <v>2047</v>
      </c>
      <c r="B1243" s="6" t="s">
        <v>2048</v>
      </c>
      <c r="C1243" s="4">
        <v>10139554</v>
      </c>
    </row>
    <row r="1244" spans="1:3" ht="15.75" x14ac:dyDescent="0.25">
      <c r="A1244" s="7" t="s">
        <v>2049</v>
      </c>
      <c r="B1244" s="6" t="s">
        <v>2050</v>
      </c>
      <c r="C1244" s="4">
        <v>10043242</v>
      </c>
    </row>
    <row r="1245" spans="1:3" ht="15.75" x14ac:dyDescent="0.25">
      <c r="A1245" s="7" t="s">
        <v>2051</v>
      </c>
      <c r="B1245" s="6" t="s">
        <v>2052</v>
      </c>
      <c r="C1245" s="4">
        <v>10149027</v>
      </c>
    </row>
    <row r="1246" spans="1:3" ht="15.75" x14ac:dyDescent="0.25">
      <c r="A1246" s="7" t="s">
        <v>2053</v>
      </c>
      <c r="B1246" s="6" t="s">
        <v>2052</v>
      </c>
      <c r="C1246" s="4">
        <v>10151775</v>
      </c>
    </row>
    <row r="1247" spans="1:3" ht="15.75" x14ac:dyDescent="0.25">
      <c r="A1247" s="7" t="s">
        <v>2054</v>
      </c>
      <c r="B1247" s="6" t="s">
        <v>2055</v>
      </c>
      <c r="C1247" s="4">
        <v>10087023</v>
      </c>
    </row>
    <row r="1248" spans="1:3" ht="15.75" x14ac:dyDescent="0.25">
      <c r="A1248" s="7" t="s">
        <v>2056</v>
      </c>
      <c r="B1248" s="6" t="s">
        <v>2057</v>
      </c>
      <c r="C1248" s="4">
        <v>10122233</v>
      </c>
    </row>
    <row r="1249" spans="1:3" ht="15.75" x14ac:dyDescent="0.25">
      <c r="A1249" s="7" t="s">
        <v>2058</v>
      </c>
      <c r="B1249" s="6" t="s">
        <v>2057</v>
      </c>
      <c r="C1249" s="4">
        <v>10119153</v>
      </c>
    </row>
    <row r="1250" spans="1:3" ht="15.75" x14ac:dyDescent="0.25">
      <c r="A1250" s="7" t="s">
        <v>2059</v>
      </c>
      <c r="B1250" s="6" t="s">
        <v>2057</v>
      </c>
      <c r="C1250" s="4">
        <v>10113448</v>
      </c>
    </row>
    <row r="1251" spans="1:3" ht="15.75" x14ac:dyDescent="0.25">
      <c r="A1251" s="7" t="s">
        <v>2060</v>
      </c>
      <c r="B1251" s="6" t="s">
        <v>2061</v>
      </c>
      <c r="C1251" s="4">
        <v>10046981</v>
      </c>
    </row>
    <row r="1252" spans="1:3" ht="15.75" x14ac:dyDescent="0.25">
      <c r="A1252" s="7" t="s">
        <v>2062</v>
      </c>
      <c r="B1252" s="6" t="s">
        <v>2063</v>
      </c>
      <c r="C1252" s="4">
        <v>10094687</v>
      </c>
    </row>
    <row r="1253" spans="1:3" ht="15.75" x14ac:dyDescent="0.25">
      <c r="A1253" s="7" t="s">
        <v>2064</v>
      </c>
      <c r="B1253" s="6" t="s">
        <v>2065</v>
      </c>
      <c r="C1253" s="4">
        <v>10048396</v>
      </c>
    </row>
    <row r="1254" spans="1:3" ht="15.75" x14ac:dyDescent="0.25">
      <c r="A1254" s="7" t="s">
        <v>2066</v>
      </c>
      <c r="B1254" s="6" t="s">
        <v>2067</v>
      </c>
      <c r="C1254" s="4">
        <v>10108439</v>
      </c>
    </row>
    <row r="1255" spans="1:3" ht="15.75" x14ac:dyDescent="0.25">
      <c r="A1255" s="7" t="s">
        <v>2068</v>
      </c>
      <c r="B1255" s="6" t="s">
        <v>2067</v>
      </c>
      <c r="C1255" s="4">
        <v>10127115</v>
      </c>
    </row>
    <row r="1256" spans="1:3" ht="15.75" x14ac:dyDescent="0.25">
      <c r="A1256" s="7" t="s">
        <v>2069</v>
      </c>
      <c r="B1256" s="6" t="s">
        <v>2067</v>
      </c>
      <c r="C1256" s="4">
        <v>10088379</v>
      </c>
    </row>
    <row r="1257" spans="1:3" ht="15.75" x14ac:dyDescent="0.25">
      <c r="A1257" s="7" t="s">
        <v>2070</v>
      </c>
      <c r="B1257" s="6" t="s">
        <v>2067</v>
      </c>
      <c r="C1257" s="4">
        <v>10082525</v>
      </c>
    </row>
    <row r="1258" spans="1:3" ht="15.75" x14ac:dyDescent="0.25">
      <c r="A1258" s="7" t="s">
        <v>2071</v>
      </c>
      <c r="B1258" s="6" t="s">
        <v>2067</v>
      </c>
      <c r="C1258" s="4">
        <v>10102170</v>
      </c>
    </row>
    <row r="1259" spans="1:3" ht="15.75" x14ac:dyDescent="0.25">
      <c r="A1259" s="7" t="s">
        <v>2072</v>
      </c>
      <c r="B1259" s="6" t="s">
        <v>2067</v>
      </c>
      <c r="C1259" s="4">
        <v>10095745</v>
      </c>
    </row>
    <row r="1260" spans="1:3" ht="15.75" x14ac:dyDescent="0.25">
      <c r="A1260" s="7" t="s">
        <v>2073</v>
      </c>
      <c r="B1260" s="6" t="s">
        <v>2067</v>
      </c>
      <c r="C1260" s="4">
        <v>10090290</v>
      </c>
    </row>
    <row r="1261" spans="1:3" ht="15.75" x14ac:dyDescent="0.25">
      <c r="A1261" s="7" t="s">
        <v>2074</v>
      </c>
      <c r="B1261" s="6" t="s">
        <v>2075</v>
      </c>
      <c r="C1261" s="4">
        <v>10095434</v>
      </c>
    </row>
    <row r="1262" spans="1:3" ht="15.75" x14ac:dyDescent="0.25">
      <c r="A1262" s="7" t="s">
        <v>2076</v>
      </c>
      <c r="B1262" s="6" t="s">
        <v>2077</v>
      </c>
      <c r="C1262" s="4">
        <v>10129238</v>
      </c>
    </row>
    <row r="1263" spans="1:3" ht="15.75" x14ac:dyDescent="0.25">
      <c r="A1263" s="7" t="s">
        <v>2078</v>
      </c>
      <c r="B1263" s="6" t="s">
        <v>2077</v>
      </c>
      <c r="C1263" s="4">
        <v>10102136</v>
      </c>
    </row>
    <row r="1264" spans="1:3" ht="15.75" x14ac:dyDescent="0.25">
      <c r="A1264" s="7" t="s">
        <v>2079</v>
      </c>
      <c r="B1264" s="6" t="s">
        <v>2077</v>
      </c>
      <c r="C1264" s="4">
        <v>10084283</v>
      </c>
    </row>
    <row r="1265" spans="1:3" ht="15.75" x14ac:dyDescent="0.25">
      <c r="A1265" s="7" t="s">
        <v>2080</v>
      </c>
      <c r="B1265" s="6" t="s">
        <v>2077</v>
      </c>
      <c r="C1265" s="4">
        <v>10097111</v>
      </c>
    </row>
    <row r="1266" spans="1:3" ht="15.75" x14ac:dyDescent="0.25">
      <c r="A1266" s="7" t="s">
        <v>2081</v>
      </c>
      <c r="B1266" s="6" t="s">
        <v>2077</v>
      </c>
      <c r="C1266" s="4">
        <v>10048105</v>
      </c>
    </row>
    <row r="1267" spans="1:3" ht="15.75" x14ac:dyDescent="0.25">
      <c r="A1267" s="7" t="s">
        <v>2082</v>
      </c>
      <c r="B1267" s="6" t="s">
        <v>2077</v>
      </c>
      <c r="C1267" s="4">
        <v>10095129</v>
      </c>
    </row>
    <row r="1268" spans="1:3" ht="15.75" x14ac:dyDescent="0.25">
      <c r="A1268" s="7" t="s">
        <v>2083</v>
      </c>
      <c r="B1268" s="6" t="s">
        <v>2077</v>
      </c>
      <c r="C1268" s="4">
        <v>10049222</v>
      </c>
    </row>
    <row r="1269" spans="1:3" ht="15.75" x14ac:dyDescent="0.25">
      <c r="A1269" s="7" t="s">
        <v>2084</v>
      </c>
      <c r="B1269" s="6" t="s">
        <v>2077</v>
      </c>
      <c r="C1269" s="4">
        <v>10089991</v>
      </c>
    </row>
    <row r="1270" spans="1:3" ht="15.75" x14ac:dyDescent="0.25">
      <c r="A1270" s="7" t="s">
        <v>2085</v>
      </c>
      <c r="B1270" s="6" t="s">
        <v>2077</v>
      </c>
      <c r="C1270" s="4">
        <v>10134499</v>
      </c>
    </row>
    <row r="1271" spans="1:3" ht="15.75" x14ac:dyDescent="0.25">
      <c r="A1271" s="7" t="s">
        <v>2086</v>
      </c>
      <c r="B1271" s="6" t="s">
        <v>2077</v>
      </c>
      <c r="C1271" s="4">
        <v>10088018</v>
      </c>
    </row>
    <row r="1272" spans="1:3" ht="15.75" x14ac:dyDescent="0.25">
      <c r="A1272" s="7" t="s">
        <v>2087</v>
      </c>
      <c r="B1272" s="6" t="s">
        <v>2077</v>
      </c>
      <c r="C1272" s="4">
        <v>10097620</v>
      </c>
    </row>
    <row r="1273" spans="1:3" ht="15.75" x14ac:dyDescent="0.25">
      <c r="A1273" s="7" t="s">
        <v>2088</v>
      </c>
      <c r="B1273" s="6" t="s">
        <v>2077</v>
      </c>
      <c r="C1273" s="4">
        <v>10102187</v>
      </c>
    </row>
    <row r="1274" spans="1:3" ht="15.75" x14ac:dyDescent="0.25">
      <c r="A1274" s="7" t="s">
        <v>2089</v>
      </c>
      <c r="B1274" s="6" t="s">
        <v>2077</v>
      </c>
      <c r="C1274" s="4">
        <v>10089078</v>
      </c>
    </row>
    <row r="1275" spans="1:3" ht="15.75" x14ac:dyDescent="0.25">
      <c r="A1275" s="7" t="s">
        <v>2090</v>
      </c>
      <c r="B1275" s="6" t="s">
        <v>2077</v>
      </c>
      <c r="C1275" s="4">
        <v>10089090</v>
      </c>
    </row>
    <row r="1276" spans="1:3" ht="15.75" x14ac:dyDescent="0.25">
      <c r="A1276" s="7" t="s">
        <v>2091</v>
      </c>
      <c r="B1276" s="6" t="s">
        <v>2077</v>
      </c>
      <c r="C1276" s="4">
        <v>10098581</v>
      </c>
    </row>
    <row r="1277" spans="1:3" ht="15.75" x14ac:dyDescent="0.25">
      <c r="A1277" s="7" t="s">
        <v>2092</v>
      </c>
      <c r="B1277" s="6" t="s">
        <v>2077</v>
      </c>
      <c r="C1277" s="4">
        <v>10089604</v>
      </c>
    </row>
    <row r="1278" spans="1:3" ht="15.75" x14ac:dyDescent="0.25">
      <c r="A1278" s="7" t="s">
        <v>2093</v>
      </c>
      <c r="B1278" s="6" t="s">
        <v>2077</v>
      </c>
      <c r="C1278" s="4">
        <v>10084536</v>
      </c>
    </row>
    <row r="1279" spans="1:3" ht="15.75" x14ac:dyDescent="0.25">
      <c r="A1279" s="7" t="s">
        <v>2094</v>
      </c>
      <c r="B1279" s="6" t="s">
        <v>2077</v>
      </c>
      <c r="C1279" s="4">
        <v>10102169</v>
      </c>
    </row>
    <row r="1280" spans="1:3" ht="15.75" x14ac:dyDescent="0.25">
      <c r="A1280" s="7" t="s">
        <v>2095</v>
      </c>
      <c r="B1280" s="6" t="s">
        <v>2077</v>
      </c>
      <c r="C1280" s="4">
        <v>10084911</v>
      </c>
    </row>
    <row r="1281" spans="1:3" ht="15.75" x14ac:dyDescent="0.25">
      <c r="A1281" s="7" t="s">
        <v>2096</v>
      </c>
      <c r="B1281" s="6" t="s">
        <v>2077</v>
      </c>
      <c r="C1281" s="4">
        <v>10144854</v>
      </c>
    </row>
    <row r="1282" spans="1:3" ht="15.75" x14ac:dyDescent="0.25">
      <c r="A1282" s="7" t="s">
        <v>2097</v>
      </c>
      <c r="B1282" s="6" t="s">
        <v>2077</v>
      </c>
      <c r="C1282" s="4">
        <v>10107075</v>
      </c>
    </row>
    <row r="1283" spans="1:3" ht="15.75" x14ac:dyDescent="0.25">
      <c r="A1283" s="7" t="s">
        <v>2098</v>
      </c>
      <c r="B1283" s="6" t="s">
        <v>2077</v>
      </c>
      <c r="C1283" s="4">
        <v>10033594</v>
      </c>
    </row>
    <row r="1284" spans="1:3" ht="15.75" x14ac:dyDescent="0.25">
      <c r="A1284" s="7" t="s">
        <v>2099</v>
      </c>
      <c r="B1284" s="6" t="s">
        <v>2077</v>
      </c>
      <c r="C1284" s="4">
        <v>10106043</v>
      </c>
    </row>
    <row r="1285" spans="1:3" ht="15.75" x14ac:dyDescent="0.25">
      <c r="A1285" s="7" t="s">
        <v>2100</v>
      </c>
      <c r="B1285" s="6" t="s">
        <v>2077</v>
      </c>
      <c r="C1285" s="4">
        <v>10085544</v>
      </c>
    </row>
    <row r="1286" spans="1:3" ht="15.75" x14ac:dyDescent="0.25">
      <c r="A1286" s="7" t="s">
        <v>2101</v>
      </c>
      <c r="B1286" s="6" t="s">
        <v>2077</v>
      </c>
      <c r="C1286" s="4">
        <v>10087002</v>
      </c>
    </row>
    <row r="1287" spans="1:3" ht="15.75" x14ac:dyDescent="0.25">
      <c r="A1287" s="7" t="s">
        <v>2102</v>
      </c>
      <c r="B1287" s="6" t="s">
        <v>2077</v>
      </c>
      <c r="C1287" s="4">
        <v>10085182</v>
      </c>
    </row>
    <row r="1288" spans="1:3" ht="15.75" x14ac:dyDescent="0.25">
      <c r="A1288" s="7" t="s">
        <v>2103</v>
      </c>
      <c r="B1288" s="6" t="s">
        <v>2077</v>
      </c>
      <c r="C1288" s="4">
        <v>10093667</v>
      </c>
    </row>
    <row r="1289" spans="1:3" ht="15.75" x14ac:dyDescent="0.25">
      <c r="A1289" s="7" t="s">
        <v>2104</v>
      </c>
      <c r="B1289" s="6" t="s">
        <v>2077</v>
      </c>
      <c r="C1289" s="4">
        <v>10099874</v>
      </c>
    </row>
    <row r="1290" spans="1:3" ht="15.75" x14ac:dyDescent="0.25">
      <c r="A1290" s="7" t="s">
        <v>2105</v>
      </c>
      <c r="B1290" s="6" t="s">
        <v>2077</v>
      </c>
      <c r="C1290" s="4">
        <v>10103437</v>
      </c>
    </row>
    <row r="1291" spans="1:3" ht="15.75" x14ac:dyDescent="0.25">
      <c r="A1291" s="7" t="s">
        <v>2106</v>
      </c>
      <c r="B1291" s="6" t="s">
        <v>2077</v>
      </c>
      <c r="C1291" s="4">
        <v>10040250</v>
      </c>
    </row>
    <row r="1292" spans="1:3" ht="15.75" x14ac:dyDescent="0.25">
      <c r="A1292" s="7" t="s">
        <v>2107</v>
      </c>
      <c r="B1292" s="6" t="s">
        <v>2077</v>
      </c>
      <c r="C1292" s="4">
        <v>10084948</v>
      </c>
    </row>
    <row r="1293" spans="1:3" ht="15.75" x14ac:dyDescent="0.25">
      <c r="A1293" s="7" t="s">
        <v>2108</v>
      </c>
      <c r="B1293" s="6" t="s">
        <v>2109</v>
      </c>
      <c r="C1293" s="4">
        <v>10102323</v>
      </c>
    </row>
    <row r="1294" spans="1:3" ht="15.75" x14ac:dyDescent="0.25">
      <c r="A1294" s="7" t="s">
        <v>2110</v>
      </c>
      <c r="B1294" s="6" t="s">
        <v>2111</v>
      </c>
      <c r="C1294" s="4">
        <v>10147783</v>
      </c>
    </row>
    <row r="1295" spans="1:3" ht="15.75" x14ac:dyDescent="0.25">
      <c r="A1295" s="7" t="s">
        <v>2112</v>
      </c>
      <c r="B1295" s="6" t="s">
        <v>2113</v>
      </c>
      <c r="C1295" s="4">
        <v>10108138</v>
      </c>
    </row>
    <row r="1296" spans="1:3" ht="15.75" x14ac:dyDescent="0.25">
      <c r="A1296" s="7" t="s">
        <v>2114</v>
      </c>
      <c r="B1296" s="6" t="s">
        <v>2115</v>
      </c>
      <c r="C1296" s="4">
        <v>10118084</v>
      </c>
    </row>
    <row r="1297" spans="1:3" ht="15.75" x14ac:dyDescent="0.25">
      <c r="A1297" s="7" t="s">
        <v>2116</v>
      </c>
      <c r="B1297" s="6" t="s">
        <v>2117</v>
      </c>
      <c r="C1297" s="4">
        <v>10094273</v>
      </c>
    </row>
    <row r="1298" spans="1:3" ht="15.75" x14ac:dyDescent="0.25">
      <c r="A1298" s="7" t="s">
        <v>2118</v>
      </c>
      <c r="B1298" s="6" t="s">
        <v>2119</v>
      </c>
      <c r="C1298" s="4">
        <v>10106816</v>
      </c>
    </row>
    <row r="1299" spans="1:3" ht="15.75" x14ac:dyDescent="0.25">
      <c r="A1299" s="7" t="s">
        <v>2120</v>
      </c>
      <c r="B1299" s="6" t="s">
        <v>2121</v>
      </c>
      <c r="C1299" s="4">
        <v>10134016</v>
      </c>
    </row>
    <row r="1300" spans="1:3" ht="15.75" x14ac:dyDescent="0.25">
      <c r="A1300" s="7" t="s">
        <v>2122</v>
      </c>
      <c r="B1300" s="6" t="s">
        <v>2123</v>
      </c>
      <c r="C1300" s="4">
        <v>10100473</v>
      </c>
    </row>
    <row r="1301" spans="1:3" ht="15.75" x14ac:dyDescent="0.25">
      <c r="A1301" s="7" t="s">
        <v>2124</v>
      </c>
      <c r="B1301" s="6" t="s">
        <v>2125</v>
      </c>
      <c r="C1301" s="4">
        <v>10083686</v>
      </c>
    </row>
    <row r="1302" spans="1:3" ht="15.75" x14ac:dyDescent="0.25">
      <c r="A1302" s="7" t="s">
        <v>2126</v>
      </c>
      <c r="B1302" s="6" t="s">
        <v>2127</v>
      </c>
      <c r="C1302" s="4">
        <v>10083748</v>
      </c>
    </row>
    <row r="1303" spans="1:3" ht="15.75" x14ac:dyDescent="0.25">
      <c r="A1303" s="7" t="s">
        <v>2128</v>
      </c>
      <c r="B1303" s="6" t="s">
        <v>2129</v>
      </c>
      <c r="C1303" s="4">
        <v>10094578</v>
      </c>
    </row>
    <row r="1304" spans="1:3" ht="15.75" x14ac:dyDescent="0.25">
      <c r="A1304" s="7" t="s">
        <v>895</v>
      </c>
      <c r="B1304" s="6" t="s">
        <v>896</v>
      </c>
      <c r="C1304" s="4">
        <v>10088128</v>
      </c>
    </row>
    <row r="1305" spans="1:3" ht="15.75" x14ac:dyDescent="0.25">
      <c r="A1305" s="7" t="s">
        <v>1139</v>
      </c>
      <c r="B1305" s="6" t="s">
        <v>1140</v>
      </c>
      <c r="C1305" s="4">
        <v>10145431</v>
      </c>
    </row>
    <row r="1306" spans="1:3" ht="15.75" x14ac:dyDescent="0.25">
      <c r="A1306" s="7" t="s">
        <v>2130</v>
      </c>
      <c r="B1306" s="6" t="s">
        <v>2131</v>
      </c>
      <c r="C1306" s="4">
        <v>10092701</v>
      </c>
    </row>
    <row r="1307" spans="1:3" ht="15.75" x14ac:dyDescent="0.25">
      <c r="A1307" s="7" t="s">
        <v>903</v>
      </c>
      <c r="B1307" s="6" t="s">
        <v>904</v>
      </c>
      <c r="C1307" s="4">
        <v>10084313</v>
      </c>
    </row>
    <row r="1308" spans="1:3" ht="15.75" x14ac:dyDescent="0.25">
      <c r="A1308" s="7" t="s">
        <v>2132</v>
      </c>
      <c r="B1308" s="6" t="s">
        <v>2133</v>
      </c>
      <c r="C1308" s="4">
        <v>10139955</v>
      </c>
    </row>
    <row r="1309" spans="1:3" ht="15.75" x14ac:dyDescent="0.25">
      <c r="A1309" s="7" t="s">
        <v>1091</v>
      </c>
      <c r="B1309" s="6" t="s">
        <v>1092</v>
      </c>
      <c r="C1309" s="4">
        <v>10144457</v>
      </c>
    </row>
    <row r="1310" spans="1:3" ht="15.75" x14ac:dyDescent="0.25">
      <c r="A1310" s="7" t="s">
        <v>2134</v>
      </c>
      <c r="B1310" s="6" t="s">
        <v>2135</v>
      </c>
      <c r="C1310" s="4">
        <v>10110949</v>
      </c>
    </row>
    <row r="1311" spans="1:3" ht="15.75" x14ac:dyDescent="0.25">
      <c r="A1311" s="7" t="s">
        <v>1114</v>
      </c>
      <c r="B1311" s="6" t="s">
        <v>1115</v>
      </c>
      <c r="C1311" s="4">
        <v>10099030</v>
      </c>
    </row>
    <row r="1312" spans="1:3" ht="15.75" x14ac:dyDescent="0.25">
      <c r="A1312" s="7" t="s">
        <v>1118</v>
      </c>
      <c r="B1312" s="6" t="s">
        <v>1119</v>
      </c>
      <c r="C1312" s="4">
        <v>10095002</v>
      </c>
    </row>
    <row r="1313" spans="1:3" ht="15.75" x14ac:dyDescent="0.25">
      <c r="A1313" s="7" t="s">
        <v>2136</v>
      </c>
      <c r="B1313" s="6" t="s">
        <v>2137</v>
      </c>
      <c r="C1313" s="4">
        <v>10099032</v>
      </c>
    </row>
    <row r="1314" spans="1:3" ht="15.75" x14ac:dyDescent="0.25">
      <c r="A1314" s="7" t="s">
        <v>2138</v>
      </c>
      <c r="B1314" s="6" t="s">
        <v>2139</v>
      </c>
      <c r="C1314" s="4">
        <v>10003844</v>
      </c>
    </row>
    <row r="1315" spans="1:3" ht="15.75" x14ac:dyDescent="0.25">
      <c r="A1315" s="7" t="s">
        <v>2138</v>
      </c>
      <c r="B1315" s="6" t="s">
        <v>2139</v>
      </c>
      <c r="C1315" s="4">
        <v>10140993</v>
      </c>
    </row>
    <row r="1316" spans="1:3" ht="15.75" x14ac:dyDescent="0.25">
      <c r="A1316" s="7" t="s">
        <v>2140</v>
      </c>
      <c r="B1316" s="6" t="s">
        <v>2141</v>
      </c>
      <c r="C1316" s="4">
        <v>10036803</v>
      </c>
    </row>
    <row r="1317" spans="1:3" ht="15.75" x14ac:dyDescent="0.25">
      <c r="A1317" s="7" t="s">
        <v>890</v>
      </c>
      <c r="B1317" s="6" t="s">
        <v>891</v>
      </c>
      <c r="C1317" s="4">
        <v>10088013</v>
      </c>
    </row>
    <row r="1318" spans="1:3" ht="15.75" x14ac:dyDescent="0.25">
      <c r="A1318" s="7" t="s">
        <v>2142</v>
      </c>
      <c r="B1318" s="6" t="s">
        <v>2143</v>
      </c>
      <c r="C1318" s="4">
        <v>10083925</v>
      </c>
    </row>
    <row r="1319" spans="1:3" ht="15.75" x14ac:dyDescent="0.25">
      <c r="A1319" s="7" t="s">
        <v>2144</v>
      </c>
      <c r="B1319" s="6" t="s">
        <v>2143</v>
      </c>
      <c r="C1319" s="4">
        <v>10089018</v>
      </c>
    </row>
    <row r="1320" spans="1:3" ht="15.75" x14ac:dyDescent="0.25">
      <c r="A1320" s="7" t="s">
        <v>2145</v>
      </c>
      <c r="B1320" s="6" t="s">
        <v>2143</v>
      </c>
      <c r="C1320" s="4">
        <v>10091666</v>
      </c>
    </row>
    <row r="1321" spans="1:3" ht="15.75" x14ac:dyDescent="0.25">
      <c r="A1321" s="7" t="s">
        <v>2146</v>
      </c>
      <c r="B1321" s="6" t="s">
        <v>2147</v>
      </c>
      <c r="C1321" s="4">
        <v>10035491</v>
      </c>
    </row>
    <row r="1322" spans="1:3" ht="15.75" x14ac:dyDescent="0.25">
      <c r="A1322" s="7" t="s">
        <v>2148</v>
      </c>
      <c r="B1322" s="6" t="s">
        <v>2147</v>
      </c>
      <c r="C1322" s="4">
        <v>10123827</v>
      </c>
    </row>
    <row r="1323" spans="1:3" ht="15.75" x14ac:dyDescent="0.25">
      <c r="A1323" s="7" t="s">
        <v>2149</v>
      </c>
      <c r="B1323" s="6" t="s">
        <v>2150</v>
      </c>
      <c r="C1323" s="4">
        <v>10133175</v>
      </c>
    </row>
    <row r="1324" spans="1:3" ht="15.75" x14ac:dyDescent="0.25">
      <c r="A1324" s="7" t="s">
        <v>713</v>
      </c>
      <c r="B1324" s="6" t="s">
        <v>714</v>
      </c>
      <c r="C1324" s="4">
        <v>10143858</v>
      </c>
    </row>
    <row r="1325" spans="1:3" ht="15.75" x14ac:dyDescent="0.25">
      <c r="A1325" s="7" t="s">
        <v>2151</v>
      </c>
      <c r="B1325" s="6" t="s">
        <v>2152</v>
      </c>
      <c r="C1325" s="4">
        <v>10090416</v>
      </c>
    </row>
    <row r="1326" spans="1:3" ht="15.75" x14ac:dyDescent="0.25">
      <c r="A1326" s="7" t="s">
        <v>2153</v>
      </c>
      <c r="B1326" s="6" t="s">
        <v>2154</v>
      </c>
      <c r="C1326" s="4">
        <v>10118790</v>
      </c>
    </row>
    <row r="1327" spans="1:3" ht="15.75" x14ac:dyDescent="0.25">
      <c r="A1327" s="7" t="s">
        <v>2155</v>
      </c>
      <c r="B1327" s="6" t="s">
        <v>2156</v>
      </c>
      <c r="C1327" s="4">
        <v>10132765</v>
      </c>
    </row>
    <row r="1328" spans="1:3" ht="15.75" x14ac:dyDescent="0.25">
      <c r="A1328" s="7" t="s">
        <v>2157</v>
      </c>
      <c r="B1328" s="6" t="s">
        <v>2158</v>
      </c>
      <c r="C1328" s="4">
        <v>10086112</v>
      </c>
    </row>
    <row r="1329" spans="1:3" ht="15.75" x14ac:dyDescent="0.25">
      <c r="A1329" s="7" t="s">
        <v>2159</v>
      </c>
      <c r="B1329" s="6" t="s">
        <v>2160</v>
      </c>
      <c r="C1329" s="4">
        <v>10113429</v>
      </c>
    </row>
    <row r="1330" spans="1:3" ht="15.75" x14ac:dyDescent="0.25">
      <c r="A1330" s="7" t="s">
        <v>2161</v>
      </c>
      <c r="B1330" s="6" t="s">
        <v>2162</v>
      </c>
      <c r="C1330" s="4">
        <v>10000116</v>
      </c>
    </row>
    <row r="1331" spans="1:3" ht="15.75" x14ac:dyDescent="0.25">
      <c r="A1331" s="7" t="s">
        <v>2163</v>
      </c>
      <c r="B1331" s="6" t="s">
        <v>2164</v>
      </c>
      <c r="C1331" s="4">
        <v>10102198</v>
      </c>
    </row>
    <row r="1332" spans="1:3" ht="15.75" x14ac:dyDescent="0.25">
      <c r="A1332" s="7" t="s">
        <v>2165</v>
      </c>
      <c r="B1332" s="6" t="s">
        <v>2166</v>
      </c>
      <c r="C1332" s="4">
        <v>10099031</v>
      </c>
    </row>
    <row r="1333" spans="1:3" ht="15.75" x14ac:dyDescent="0.25">
      <c r="A1333" s="7" t="s">
        <v>2167</v>
      </c>
      <c r="B1333" s="6" t="s">
        <v>2168</v>
      </c>
      <c r="C1333" s="4">
        <v>10083372</v>
      </c>
    </row>
    <row r="1334" spans="1:3" ht="15.75" x14ac:dyDescent="0.25">
      <c r="A1334" s="7" t="s">
        <v>2169</v>
      </c>
      <c r="B1334" s="6" t="s">
        <v>2170</v>
      </c>
      <c r="C1334" s="4">
        <v>10084011</v>
      </c>
    </row>
    <row r="1335" spans="1:3" ht="15.75" x14ac:dyDescent="0.25">
      <c r="A1335" s="7" t="s">
        <v>2171</v>
      </c>
      <c r="B1335" s="6" t="s">
        <v>2172</v>
      </c>
      <c r="C1335" s="4">
        <v>10139849</v>
      </c>
    </row>
    <row r="1336" spans="1:3" ht="15.75" x14ac:dyDescent="0.25">
      <c r="A1336" s="7" t="s">
        <v>214</v>
      </c>
      <c r="B1336" s="6" t="s">
        <v>215</v>
      </c>
      <c r="C1336" s="4">
        <v>10089051</v>
      </c>
    </row>
    <row r="1337" spans="1:3" ht="15.75" x14ac:dyDescent="0.25">
      <c r="A1337" s="7" t="s">
        <v>2173</v>
      </c>
      <c r="B1337" s="6" t="s">
        <v>2174</v>
      </c>
      <c r="C1337" s="4">
        <v>10144828</v>
      </c>
    </row>
    <row r="1338" spans="1:3" ht="15.75" x14ac:dyDescent="0.25">
      <c r="A1338" s="7" t="s">
        <v>2175</v>
      </c>
      <c r="B1338" s="6" t="s">
        <v>2176</v>
      </c>
      <c r="C1338" s="4">
        <v>10001597</v>
      </c>
    </row>
    <row r="1339" spans="1:3" ht="15.75" x14ac:dyDescent="0.25">
      <c r="A1339" s="7" t="s">
        <v>2177</v>
      </c>
      <c r="B1339" s="6" t="s">
        <v>2178</v>
      </c>
      <c r="C1339" s="4">
        <v>10082583</v>
      </c>
    </row>
    <row r="1340" spans="1:3" ht="15.75" x14ac:dyDescent="0.25">
      <c r="A1340" s="7" t="s">
        <v>2179</v>
      </c>
      <c r="B1340" s="6" t="s">
        <v>2178</v>
      </c>
      <c r="C1340" s="4">
        <v>10089638</v>
      </c>
    </row>
    <row r="1341" spans="1:3" ht="15.75" x14ac:dyDescent="0.25">
      <c r="A1341" s="7" t="s">
        <v>2180</v>
      </c>
      <c r="B1341" s="6" t="s">
        <v>2181</v>
      </c>
      <c r="C1341" s="4">
        <v>10142831</v>
      </c>
    </row>
    <row r="1342" spans="1:3" ht="15.75" x14ac:dyDescent="0.25">
      <c r="A1342" s="7" t="s">
        <v>2182</v>
      </c>
      <c r="B1342" s="6" t="s">
        <v>2183</v>
      </c>
      <c r="C1342" s="4">
        <v>10097389</v>
      </c>
    </row>
    <row r="1343" spans="1:3" ht="15.75" x14ac:dyDescent="0.25">
      <c r="A1343" s="7" t="s">
        <v>2184</v>
      </c>
      <c r="B1343" s="6" t="s">
        <v>2185</v>
      </c>
      <c r="C1343" s="4">
        <v>10026815</v>
      </c>
    </row>
    <row r="1344" spans="1:3" ht="15.75" x14ac:dyDescent="0.25">
      <c r="A1344" s="7" t="s">
        <v>2186</v>
      </c>
      <c r="B1344" s="6" t="s">
        <v>2187</v>
      </c>
      <c r="C1344" s="4">
        <v>10084352</v>
      </c>
    </row>
    <row r="1345" spans="1:3" ht="15.75" x14ac:dyDescent="0.25">
      <c r="A1345" s="7" t="s">
        <v>2188</v>
      </c>
      <c r="B1345" s="6" t="s">
        <v>2187</v>
      </c>
      <c r="C1345" s="4">
        <v>10086856</v>
      </c>
    </row>
    <row r="1346" spans="1:3" ht="15.75" x14ac:dyDescent="0.25">
      <c r="A1346" s="7" t="s">
        <v>2189</v>
      </c>
      <c r="B1346" s="6" t="s">
        <v>2187</v>
      </c>
      <c r="C1346" s="4">
        <v>10111507</v>
      </c>
    </row>
    <row r="1347" spans="1:3" ht="15.75" x14ac:dyDescent="0.25">
      <c r="A1347" s="7" t="s">
        <v>2190</v>
      </c>
      <c r="B1347" s="6" t="s">
        <v>2191</v>
      </c>
      <c r="C1347" s="4">
        <v>10103212</v>
      </c>
    </row>
    <row r="1348" spans="1:3" ht="15.75" x14ac:dyDescent="0.25">
      <c r="A1348" s="7" t="s">
        <v>2192</v>
      </c>
      <c r="B1348" s="6" t="s">
        <v>2193</v>
      </c>
      <c r="C1348" s="4">
        <v>10040225</v>
      </c>
    </row>
    <row r="1349" spans="1:3" ht="15.75" x14ac:dyDescent="0.25">
      <c r="A1349" s="7" t="s">
        <v>2194</v>
      </c>
      <c r="B1349" s="6" t="s">
        <v>2195</v>
      </c>
      <c r="C1349" s="4">
        <v>10081425</v>
      </c>
    </row>
    <row r="1350" spans="1:3" ht="15.75" x14ac:dyDescent="0.25">
      <c r="A1350" s="7" t="s">
        <v>2196</v>
      </c>
      <c r="B1350" s="6" t="s">
        <v>2197</v>
      </c>
      <c r="C1350" s="4">
        <v>10032510</v>
      </c>
    </row>
    <row r="1351" spans="1:3" ht="15.75" x14ac:dyDescent="0.25">
      <c r="A1351" s="7" t="s">
        <v>2198</v>
      </c>
      <c r="B1351" s="6" t="s">
        <v>2199</v>
      </c>
      <c r="C1351" s="4">
        <v>10126110</v>
      </c>
    </row>
    <row r="1352" spans="1:3" ht="15.75" x14ac:dyDescent="0.25">
      <c r="A1352" s="7" t="s">
        <v>2200</v>
      </c>
      <c r="B1352" s="6" t="s">
        <v>2201</v>
      </c>
      <c r="C1352" s="4">
        <v>10094064</v>
      </c>
    </row>
    <row r="1353" spans="1:3" ht="15.75" x14ac:dyDescent="0.25">
      <c r="A1353" s="7" t="s">
        <v>1108</v>
      </c>
      <c r="B1353" s="6" t="s">
        <v>1109</v>
      </c>
      <c r="C1353" s="4">
        <v>10089482</v>
      </c>
    </row>
    <row r="1354" spans="1:3" ht="15.75" x14ac:dyDescent="0.25">
      <c r="A1354" s="7" t="s">
        <v>353</v>
      </c>
      <c r="B1354" s="6" t="s">
        <v>354</v>
      </c>
      <c r="C1354" s="4">
        <v>10083913</v>
      </c>
    </row>
    <row r="1355" spans="1:3" ht="15.75" x14ac:dyDescent="0.25">
      <c r="A1355" s="7" t="s">
        <v>2202</v>
      </c>
      <c r="B1355" s="6" t="s">
        <v>2203</v>
      </c>
      <c r="C1355" s="4">
        <v>10108120</v>
      </c>
    </row>
    <row r="1356" spans="1:3" ht="15.75" x14ac:dyDescent="0.25">
      <c r="A1356" s="7" t="s">
        <v>2204</v>
      </c>
      <c r="B1356" s="6" t="s">
        <v>2205</v>
      </c>
      <c r="C1356" s="4">
        <v>10141629</v>
      </c>
    </row>
    <row r="1357" spans="1:3" ht="15.75" x14ac:dyDescent="0.25">
      <c r="A1357" s="7" t="s">
        <v>1132</v>
      </c>
      <c r="B1357" s="6" t="s">
        <v>1133</v>
      </c>
      <c r="C1357" s="4">
        <v>10083252</v>
      </c>
    </row>
    <row r="1358" spans="1:3" ht="15.75" x14ac:dyDescent="0.25">
      <c r="A1358" s="7" t="s">
        <v>2206</v>
      </c>
      <c r="B1358" s="6" t="s">
        <v>2207</v>
      </c>
      <c r="C1358" s="4">
        <v>10101900</v>
      </c>
    </row>
    <row r="1359" spans="1:3" ht="15.75" x14ac:dyDescent="0.25">
      <c r="A1359" s="7" t="s">
        <v>906</v>
      </c>
      <c r="B1359" s="6" t="s">
        <v>907</v>
      </c>
      <c r="C1359" s="4">
        <v>10084373</v>
      </c>
    </row>
    <row r="1360" spans="1:3" ht="15.75" x14ac:dyDescent="0.25">
      <c r="A1360" s="7" t="s">
        <v>908</v>
      </c>
      <c r="B1360" s="6" t="s">
        <v>909</v>
      </c>
      <c r="C1360" s="4">
        <v>10101478</v>
      </c>
    </row>
    <row r="1361" spans="1:3" ht="15.75" x14ac:dyDescent="0.25">
      <c r="A1361" s="7" t="s">
        <v>910</v>
      </c>
      <c r="B1361" s="6" t="s">
        <v>911</v>
      </c>
      <c r="C1361" s="4">
        <v>10084676</v>
      </c>
    </row>
    <row r="1362" spans="1:3" ht="15.75" x14ac:dyDescent="0.25">
      <c r="A1362" s="7" t="s">
        <v>1130</v>
      </c>
      <c r="B1362" s="6" t="s">
        <v>1131</v>
      </c>
      <c r="C1362" s="4">
        <v>10087699</v>
      </c>
    </row>
    <row r="1363" spans="1:3" ht="15.75" x14ac:dyDescent="0.25">
      <c r="A1363" s="7" t="s">
        <v>2208</v>
      </c>
      <c r="B1363" s="6" t="s">
        <v>2209</v>
      </c>
      <c r="C1363" s="4">
        <v>10084452</v>
      </c>
    </row>
    <row r="1364" spans="1:3" ht="15.75" x14ac:dyDescent="0.25">
      <c r="A1364" s="7" t="s">
        <v>2210</v>
      </c>
      <c r="B1364" s="6" t="s">
        <v>2211</v>
      </c>
      <c r="C1364" s="4">
        <v>10089094</v>
      </c>
    </row>
    <row r="1365" spans="1:3" ht="15.75" x14ac:dyDescent="0.25">
      <c r="A1365" s="7" t="s">
        <v>2212</v>
      </c>
      <c r="B1365" s="6" t="s">
        <v>2213</v>
      </c>
      <c r="C1365" s="4">
        <v>10147821</v>
      </c>
    </row>
    <row r="1366" spans="1:3" ht="15.75" x14ac:dyDescent="0.25">
      <c r="A1366" s="7" t="s">
        <v>2214</v>
      </c>
      <c r="B1366" s="6" t="s">
        <v>2215</v>
      </c>
      <c r="C1366" s="4">
        <v>10143802</v>
      </c>
    </row>
    <row r="1367" spans="1:3" ht="15.75" x14ac:dyDescent="0.25">
      <c r="A1367" s="7" t="s">
        <v>2216</v>
      </c>
      <c r="B1367" s="6" t="s">
        <v>2217</v>
      </c>
      <c r="C1367" s="4">
        <v>10146311</v>
      </c>
    </row>
    <row r="1368" spans="1:3" ht="15.75" x14ac:dyDescent="0.25">
      <c r="A1368" s="7" t="s">
        <v>2218</v>
      </c>
      <c r="B1368" s="6" t="s">
        <v>2219</v>
      </c>
      <c r="C1368" s="4">
        <v>10143857</v>
      </c>
    </row>
    <row r="1369" spans="1:3" ht="15.75" x14ac:dyDescent="0.25">
      <c r="A1369" s="7" t="s">
        <v>2220</v>
      </c>
      <c r="B1369" s="6" t="s">
        <v>2221</v>
      </c>
      <c r="C1369" s="4">
        <v>10018729</v>
      </c>
    </row>
    <row r="1370" spans="1:3" ht="15.75" x14ac:dyDescent="0.25">
      <c r="A1370" s="7" t="s">
        <v>2222</v>
      </c>
      <c r="B1370" s="6" t="s">
        <v>2223</v>
      </c>
      <c r="C1370" s="4">
        <v>10105688</v>
      </c>
    </row>
    <row r="1371" spans="1:3" ht="15.75" x14ac:dyDescent="0.25">
      <c r="A1371" s="7" t="s">
        <v>2224</v>
      </c>
      <c r="B1371" s="6" t="s">
        <v>2223</v>
      </c>
      <c r="C1371" s="4">
        <v>10137550</v>
      </c>
    </row>
    <row r="1372" spans="1:3" ht="15.75" x14ac:dyDescent="0.25">
      <c r="A1372" s="7" t="s">
        <v>2225</v>
      </c>
      <c r="B1372" s="6" t="s">
        <v>2226</v>
      </c>
      <c r="C1372" s="4">
        <v>10145256</v>
      </c>
    </row>
    <row r="1373" spans="1:3" ht="15.75" x14ac:dyDescent="0.25">
      <c r="A1373" s="7" t="s">
        <v>2227</v>
      </c>
      <c r="B1373" s="6" t="s">
        <v>2228</v>
      </c>
      <c r="C1373" s="4">
        <v>10082961</v>
      </c>
    </row>
    <row r="1374" spans="1:3" ht="15.75" x14ac:dyDescent="0.25">
      <c r="A1374" s="7" t="s">
        <v>2229</v>
      </c>
      <c r="B1374" s="6" t="s">
        <v>2230</v>
      </c>
      <c r="C1374" s="4">
        <v>10094322</v>
      </c>
    </row>
    <row r="1375" spans="1:3" ht="15.75" x14ac:dyDescent="0.25">
      <c r="A1375" s="7" t="s">
        <v>2231</v>
      </c>
      <c r="B1375" s="6" t="s">
        <v>2232</v>
      </c>
      <c r="C1375" s="4">
        <v>10091969</v>
      </c>
    </row>
    <row r="1376" spans="1:3" ht="15.75" x14ac:dyDescent="0.25">
      <c r="A1376" s="7" t="s">
        <v>2233</v>
      </c>
      <c r="B1376" s="6" t="s">
        <v>2234</v>
      </c>
      <c r="C1376" s="4">
        <v>10132572</v>
      </c>
    </row>
    <row r="1377" spans="1:3" ht="15.75" x14ac:dyDescent="0.25">
      <c r="A1377" s="7" t="s">
        <v>2235</v>
      </c>
      <c r="B1377" s="6" t="s">
        <v>2236</v>
      </c>
      <c r="C1377" s="4">
        <v>10145426</v>
      </c>
    </row>
    <row r="1378" spans="1:3" ht="15.75" x14ac:dyDescent="0.25">
      <c r="A1378" s="7" t="s">
        <v>2237</v>
      </c>
      <c r="B1378" s="6" t="s">
        <v>2238</v>
      </c>
      <c r="C1378" s="4">
        <v>10033778</v>
      </c>
    </row>
    <row r="1379" spans="1:3" ht="15.75" x14ac:dyDescent="0.25">
      <c r="A1379" s="7" t="s">
        <v>2239</v>
      </c>
      <c r="B1379" s="6" t="s">
        <v>2240</v>
      </c>
      <c r="C1379" s="4">
        <v>10037710</v>
      </c>
    </row>
    <row r="1380" spans="1:3" ht="15.75" x14ac:dyDescent="0.25">
      <c r="A1380" s="7" t="s">
        <v>2241</v>
      </c>
      <c r="B1380" s="6" t="s">
        <v>2242</v>
      </c>
      <c r="C1380" s="4">
        <v>10101397</v>
      </c>
    </row>
    <row r="1381" spans="1:3" ht="15.75" x14ac:dyDescent="0.25">
      <c r="A1381" s="7" t="s">
        <v>2243</v>
      </c>
      <c r="B1381" s="6" t="s">
        <v>2244</v>
      </c>
      <c r="C1381" s="4">
        <v>10102197</v>
      </c>
    </row>
    <row r="1382" spans="1:3" ht="15.75" x14ac:dyDescent="0.25">
      <c r="A1382" s="7" t="s">
        <v>2245</v>
      </c>
      <c r="B1382" s="6" t="s">
        <v>2246</v>
      </c>
      <c r="C1382" s="4">
        <v>10093848</v>
      </c>
    </row>
    <row r="1383" spans="1:3" ht="15.75" x14ac:dyDescent="0.25">
      <c r="A1383" s="7" t="s">
        <v>279</v>
      </c>
      <c r="B1383" s="6" t="s">
        <v>280</v>
      </c>
      <c r="C1383" s="4">
        <v>10083585</v>
      </c>
    </row>
    <row r="1384" spans="1:3" ht="15.75" x14ac:dyDescent="0.25">
      <c r="A1384" s="7" t="s">
        <v>1112</v>
      </c>
      <c r="B1384" s="6" t="s">
        <v>1113</v>
      </c>
      <c r="C1384" s="4">
        <v>10145969</v>
      </c>
    </row>
    <row r="1385" spans="1:3" ht="15.75" x14ac:dyDescent="0.25">
      <c r="A1385" s="7" t="s">
        <v>875</v>
      </c>
      <c r="B1385" s="6" t="s">
        <v>876</v>
      </c>
      <c r="C1385" s="4">
        <v>10094519</v>
      </c>
    </row>
    <row r="1386" spans="1:3" ht="15.75" x14ac:dyDescent="0.25">
      <c r="A1386" s="7" t="s">
        <v>2247</v>
      </c>
      <c r="B1386" s="6" t="s">
        <v>2248</v>
      </c>
      <c r="C1386" s="4">
        <v>10131642</v>
      </c>
    </row>
    <row r="1387" spans="1:3" ht="15.75" x14ac:dyDescent="0.25">
      <c r="A1387" s="7" t="s">
        <v>645</v>
      </c>
      <c r="B1387" s="6" t="s">
        <v>646</v>
      </c>
      <c r="C1387" s="4">
        <v>10097713</v>
      </c>
    </row>
    <row r="1388" spans="1:3" ht="15.75" x14ac:dyDescent="0.25">
      <c r="A1388" s="7" t="s">
        <v>2249</v>
      </c>
      <c r="B1388" s="6" t="s">
        <v>2250</v>
      </c>
      <c r="C1388" s="4">
        <v>10083745</v>
      </c>
    </row>
    <row r="1389" spans="1:3" ht="15.75" x14ac:dyDescent="0.25">
      <c r="A1389" s="7" t="s">
        <v>2251</v>
      </c>
      <c r="B1389" s="6" t="s">
        <v>2252</v>
      </c>
      <c r="C1389" s="4">
        <v>10106113</v>
      </c>
    </row>
    <row r="1390" spans="1:3" ht="15.75" x14ac:dyDescent="0.25">
      <c r="A1390" s="7" t="s">
        <v>2253</v>
      </c>
      <c r="B1390" s="6" t="s">
        <v>2254</v>
      </c>
      <c r="C1390" s="4">
        <v>10087778</v>
      </c>
    </row>
    <row r="1391" spans="1:3" ht="15.75" x14ac:dyDescent="0.25">
      <c r="A1391" s="7" t="s">
        <v>1046</v>
      </c>
      <c r="B1391" s="6" t="s">
        <v>1047</v>
      </c>
      <c r="C1391" s="4">
        <v>10129021</v>
      </c>
    </row>
    <row r="1392" spans="1:3" ht="15.75" x14ac:dyDescent="0.25">
      <c r="A1392" s="7" t="s">
        <v>2255</v>
      </c>
      <c r="B1392" s="6" t="s">
        <v>2256</v>
      </c>
      <c r="C1392" s="4">
        <v>10037985</v>
      </c>
    </row>
    <row r="1393" spans="1:3" ht="15.75" x14ac:dyDescent="0.25">
      <c r="A1393" s="7" t="s">
        <v>816</v>
      </c>
      <c r="B1393" s="6" t="s">
        <v>817</v>
      </c>
      <c r="C1393" s="4">
        <v>10119042</v>
      </c>
    </row>
    <row r="1394" spans="1:3" ht="15.75" x14ac:dyDescent="0.25">
      <c r="A1394" s="7" t="s">
        <v>2257</v>
      </c>
      <c r="B1394" s="6" t="s">
        <v>2258</v>
      </c>
      <c r="C1394" s="4">
        <v>10018029</v>
      </c>
    </row>
    <row r="1395" spans="1:3" ht="15.75" x14ac:dyDescent="0.25">
      <c r="A1395" s="7" t="s">
        <v>18</v>
      </c>
      <c r="B1395" s="6" t="s">
        <v>17</v>
      </c>
      <c r="C1395" s="4">
        <v>10013504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&amp;C&amp;1#&amp;"Calibri"&amp;10&amp;K000000Pública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</vt:i4>
      </vt:variant>
    </vt:vector>
  </HeadingPairs>
  <TitlesOfParts>
    <vt:vector size="4" baseType="lpstr">
      <vt:lpstr>SAP</vt:lpstr>
      <vt:lpstr>classificacao</vt:lpstr>
      <vt:lpstr>cod_sap</vt:lpstr>
      <vt:lpstr>CNPJ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Camilla Mecenas Cardoso</cp:lastModifiedBy>
  <dcterms:created xsi:type="dcterms:W3CDTF">2021-10-27T01:24:58Z</dcterms:created>
  <dcterms:modified xsi:type="dcterms:W3CDTF">2021-11-20T00:06:47Z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2deaceb-9851-4663-bccf-596767454be3_Enabled">
    <vt:lpwstr>true</vt:lpwstr>
  </property>
  <property fmtid="{D5CDD505-2E9C-101B-9397-08002B2CF9AE}" pid="3" name="MSIP_Label_22deaceb-9851-4663-bccf-596767454be3_SetDate">
    <vt:lpwstr>2021-11-20T00:06:47Z</vt:lpwstr>
  </property>
  <property fmtid="{D5CDD505-2E9C-101B-9397-08002B2CF9AE}" pid="4" name="MSIP_Label_22deaceb-9851-4663-bccf-596767454be3_Method">
    <vt:lpwstr>Privileged</vt:lpwstr>
  </property>
  <property fmtid="{D5CDD505-2E9C-101B-9397-08002B2CF9AE}" pid="5" name="MSIP_Label_22deaceb-9851-4663-bccf-596767454be3_Name">
    <vt:lpwstr>22deaceb-9851-4663-bccf-596767454be3</vt:lpwstr>
  </property>
  <property fmtid="{D5CDD505-2E9C-101B-9397-08002B2CF9AE}" pid="6" name="MSIP_Label_22deaceb-9851-4663-bccf-596767454be3_SiteId">
    <vt:lpwstr>809f94a6-0477-4390-b86e-eab14c5493a7</vt:lpwstr>
  </property>
  <property fmtid="{D5CDD505-2E9C-101B-9397-08002B2CF9AE}" pid="7" name="MSIP_Label_22deaceb-9851-4663-bccf-596767454be3_ActionId">
    <vt:lpwstr>e5d33095-32e7-4d86-a641-de414f88464e</vt:lpwstr>
  </property>
  <property fmtid="{D5CDD505-2E9C-101B-9397-08002B2CF9AE}" pid="8" name="MSIP_Label_22deaceb-9851-4663-bccf-596767454be3_ContentBits">
    <vt:lpwstr>2</vt:lpwstr>
  </property>
</Properties>
</file>